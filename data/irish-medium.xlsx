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05"/>
  <workbookPr/>
  <mc:AlternateContent xmlns:mc="http://schemas.openxmlformats.org/markup-compatibility/2006">
    <mc:Choice Requires="x15">
      <x15ac:absPath xmlns:x15ac="http://schemas.microsoft.com/office/spreadsheetml/2010/11/ac" url="https://nicsonline-my.sharepoint.com/personal/leonie_robinson_education-ni_gov_uk/Documents/"/>
    </mc:Choice>
  </mc:AlternateContent>
  <xr:revisionPtr revIDLastSave="0" documentId="8_{12A9F155-716A-46EE-96FC-C04C6956EB6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etadata" sheetId="1" r:id="rId1"/>
    <sheet name="pupils" sheetId="2" r:id="rId2"/>
    <sheet name="setting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2" i="3" l="1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</calcChain>
</file>

<file path=xl/sharedStrings.xml><?xml version="1.0" encoding="utf-8"?>
<sst xmlns="http://schemas.openxmlformats.org/spreadsheetml/2006/main" count="136" uniqueCount="75">
  <si>
    <t>Data are collected annually through the School census exercise.</t>
  </si>
  <si>
    <t>This takes place in early October when each school is required to submit a return detailing information about the numbers of pupils on their register.</t>
  </si>
  <si>
    <t>Among the information collected are details on: year group, sex, age, religion, ethnicity, Special Educational Needs and on newcomer pupils.</t>
  </si>
  <si>
    <t xml:space="preserve">Statistics produced from the school census exercise qualify as Accreditied Official Statistics. </t>
  </si>
  <si>
    <t>Action Short of Strike (ASoS)</t>
  </si>
  <si>
    <r>
      <t xml:space="preserve">Data in the 2023/24 tab was impacted by industrial action, due to ongoing </t>
    </r>
    <r>
      <rPr>
        <b/>
        <sz val="10"/>
        <rFont val="Arial"/>
        <family val="2"/>
      </rPr>
      <t>Action Short of Strike (ASOS)</t>
    </r>
    <r>
      <rPr>
        <sz val="10"/>
        <rFont val="Arial"/>
        <family val="2"/>
      </rPr>
      <t xml:space="preserve">. </t>
    </r>
  </si>
  <si>
    <t xml:space="preserve">Although data was received from all schools, for 25% of schools (primary, post primary and special schools) pupil level information was not received in electronic format. </t>
  </si>
  <si>
    <t xml:space="preserve">For those schools refusing to submit electronically, a paper return was received. The result of this is that the Department was either been unable to obtain all the information usually </t>
  </si>
  <si>
    <t>received via electronic census returns, for example religion and sex, and it was not possible to fully undertake normal validation processes. Some validations were</t>
  </si>
  <si>
    <t>impossible due to a lack of pupil level information. Further information can be found in the notes section of the enrolments bulletin (https://www.education-ni.gov.uk/publications/annual-enrolments-schools-and-funded-pre-school-education-northern-ireland-202324)</t>
  </si>
  <si>
    <r>
      <t>Irish medium units</t>
    </r>
    <r>
      <rPr>
        <sz val="10"/>
        <color rgb="FF000000"/>
        <rFont val="Arial"/>
        <family val="2"/>
      </rPr>
      <t xml:space="preserve"> are stand alone units incorporated into English medium schools.</t>
    </r>
  </si>
  <si>
    <t>Enquiries relating to information collected in the school census in Northern Ireland</t>
  </si>
  <si>
    <t>should be addressed to:</t>
  </si>
  <si>
    <t>Statistical Analysis Team</t>
  </si>
  <si>
    <t>Department of Education,</t>
  </si>
  <si>
    <t xml:space="preserve">Rathgael House, </t>
  </si>
  <si>
    <t xml:space="preserve">Balloo Road, </t>
  </si>
  <si>
    <t>Rathgill,</t>
  </si>
  <si>
    <t>Bangor,</t>
  </si>
  <si>
    <t>Co. Down</t>
  </si>
  <si>
    <t>BT19 7PR.</t>
  </si>
  <si>
    <t xml:space="preserve">email: </t>
  </si>
  <si>
    <t>census@education-ni.gov.uk</t>
  </si>
  <si>
    <t>This file was updated on 10 March 2026</t>
  </si>
  <si>
    <t>Pupils in Irish-medium education 2001/02 - 2025/26</t>
  </si>
  <si>
    <t>School and management type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</si>
  <si>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</si>
  <si>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</si>
  <si>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</si>
  <si>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</si>
  <si>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</si>
  <si>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</si>
  <si>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</si>
  <si>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</si>
  <si>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</si>
  <si>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</si>
  <si>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</si>
  <si>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</si>
  <si>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</si>
  <si>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</si>
  <si>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</si>
  <si>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</si>
  <si>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</si>
  <si>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</si>
  <si>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</si>
  <si>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</si>
  <si>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</si>
  <si>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</si>
  <si>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</si>
  <si>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</si>
  <si>
    <t>2025/26</t>
  </si>
  <si>
    <t>Voluntary and private pre-schools - Funded Full-time</t>
  </si>
  <si>
    <t>Voluntary and private pre-schools - Funded Part-time</t>
  </si>
  <si>
    <t>Nursery Classes in Irish-medium Schools - Full-time</t>
  </si>
  <si>
    <t>Nursery Classes in Irish-medium Schools - Part-time</t>
  </si>
  <si>
    <t>Nursery Classes in Irish-medium units - Full-time</t>
  </si>
  <si>
    <t>Nursery Classes in Irish-medium units - Part-time</t>
  </si>
  <si>
    <t>-</t>
  </si>
  <si>
    <t>Reception</t>
  </si>
  <si>
    <t>TOTAL</t>
  </si>
  <si>
    <t>PRIMARY Schools (Year 1 - Year 7)</t>
  </si>
  <si>
    <t>Schools</t>
  </si>
  <si>
    <t>Units</t>
  </si>
  <si>
    <t>n.a.</t>
  </si>
  <si>
    <t>POST-PRIMARY (Year 8 - Year 14)</t>
  </si>
  <si>
    <t>INDEPENDENT</t>
  </si>
  <si>
    <t>GRAND TOTAL</t>
  </si>
  <si>
    <t>1. Figures relate to pupils in funded Irish-medium units in English-medium schools and pupils in Irish-medium schools.</t>
  </si>
  <si>
    <t>2. Figures relating to 2023/24 may have been impacted by Action Short of Strike (ASOS). See ‘notes for readers’ point 13.</t>
  </si>
  <si>
    <t>Irish medium schools and units 2001/12 - 2025/26</t>
  </si>
  <si>
    <t>Voluntary and Private Pre-School Education Centres</t>
  </si>
  <si>
    <t xml:space="preserve">Nursery Schools </t>
  </si>
  <si>
    <r>
      <t>Primary Schools and units</t>
    </r>
    <r>
      <rPr>
        <b/>
        <vertAlign val="superscript"/>
        <sz val="11"/>
        <rFont val="Calibri"/>
        <family val="2"/>
        <scheme val="minor"/>
      </rPr>
      <t>1</t>
    </r>
    <r>
      <rPr>
        <b/>
        <sz val="11"/>
        <rFont val="Calibri"/>
        <family val="2"/>
        <scheme val="minor"/>
      </rPr>
      <t>:</t>
    </r>
  </si>
  <si>
    <t>Post-primary Schools and units:</t>
  </si>
  <si>
    <t>Total Irish Medium Settings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</si>
</sst>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 &quot;#,##0&quot; &quot;;&quot; (&quot;#,##0&quot;)&quot;;&quot; - &quot;;&quot; &quot;@&quot; &quot;"/>
    <numFmt numFmtId="165" formatCode="&quot; &quot;#,##0.00&quot; &quot;;&quot; (&quot;#,##0.00&quot;)&quot;;&quot; -&quot;00&quot; &quot;;&quot; &quot;@&quot; &quot;"/>
    <numFmt numFmtId="166" formatCode="&quot; &quot;#,##0.00&quot; &quot;;&quot;-&quot;#,##0.00&quot; &quot;;&quot; -&quot;00&quot; &quot;;&quot; &quot;@&quot; &quot;"/>
  </numFmts>
  <fonts count="21">
    <font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0"/>
      <color rgb="FF0000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4F81BD"/>
      <name val="Calibri"/>
      <family val="2"/>
    </font>
    <font>
      <sz val="11"/>
      <color rgb="FF3F42CD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Calibri"/>
      <family val="2"/>
    </font>
    <font>
      <sz val="8"/>
      <color rgb="FF000000"/>
      <name val="Arial"/>
      <family val="2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3F42CD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4F81BD"/>
      <name val="Calibri"/>
      <family val="2"/>
      <scheme val="minor"/>
    </font>
    <font>
      <b/>
      <sz val="11"/>
      <color rgb="FF4F81BD"/>
      <name val="Calibri"/>
      <family val="2"/>
      <scheme val="minor"/>
    </font>
    <font>
      <b/>
      <i/>
      <u/>
      <sz val="11"/>
      <name val="Calibri"/>
      <family val="2"/>
      <scheme val="minor"/>
    </font>
    <font>
      <i/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Border="0" applyProtection="0"/>
    <xf numFmtId="0" fontId="7" fillId="0" borderId="0"/>
  </cellStyleXfs>
  <cellXfs count="66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2" fillId="0" borderId="0" xfId="3" applyAlignment="1" applyProtection="1"/>
    <xf numFmtId="0" fontId="8" fillId="0" borderId="0" xfId="0" applyFont="1"/>
    <xf numFmtId="0" fontId="7" fillId="0" borderId="0" xfId="5"/>
    <xf numFmtId="0" fontId="10" fillId="0" borderId="0" xfId="0" applyFont="1"/>
    <xf numFmtId="0" fontId="13" fillId="0" borderId="0" xfId="0" applyFont="1"/>
    <xf numFmtId="0" fontId="14" fillId="0" borderId="0" xfId="0" applyFont="1"/>
    <xf numFmtId="0" fontId="13" fillId="0" borderId="12" xfId="0" applyFont="1" applyBorder="1"/>
    <xf numFmtId="0" fontId="12" fillId="0" borderId="13" xfId="0" applyFont="1" applyBorder="1" applyAlignment="1">
      <alignment horizontal="right"/>
    </xf>
    <xf numFmtId="0" fontId="12" fillId="0" borderId="2" xfId="0" applyFont="1" applyBorder="1" applyAlignment="1">
      <alignment horizontal="right"/>
    </xf>
    <xf numFmtId="0" fontId="12" fillId="0" borderId="2" xfId="0" applyFont="1" applyBorder="1"/>
    <xf numFmtId="0" fontId="12" fillId="0" borderId="4" xfId="0" applyFont="1" applyBorder="1"/>
    <xf numFmtId="0" fontId="13" fillId="0" borderId="13" xfId="0" applyFont="1" applyBorder="1"/>
    <xf numFmtId="0" fontId="13" fillId="0" borderId="1" xfId="0" applyFont="1" applyBorder="1"/>
    <xf numFmtId="0" fontId="13" fillId="0" borderId="8" xfId="0" applyFont="1" applyBorder="1"/>
    <xf numFmtId="0" fontId="13" fillId="0" borderId="10" xfId="0" applyFont="1" applyBorder="1"/>
    <xf numFmtId="0" fontId="13" fillId="0" borderId="11" xfId="0" applyFont="1" applyBorder="1"/>
    <xf numFmtId="0" fontId="13" fillId="0" borderId="2" xfId="0" applyFont="1" applyBorder="1"/>
    <xf numFmtId="0" fontId="13" fillId="0" borderId="4" xfId="0" applyFont="1" applyBorder="1"/>
    <xf numFmtId="0" fontId="12" fillId="0" borderId="5" xfId="0" applyFont="1" applyBorder="1"/>
    <xf numFmtId="0" fontId="13" fillId="0" borderId="6" xfId="0" applyFont="1" applyBorder="1"/>
    <xf numFmtId="0" fontId="13" fillId="0" borderId="1" xfId="0" applyFont="1" applyBorder="1" applyAlignment="1">
      <alignment horizontal="right"/>
    </xf>
    <xf numFmtId="0" fontId="13" fillId="0" borderId="0" xfId="0" applyFont="1" applyAlignment="1">
      <alignment horizontal="right"/>
    </xf>
    <xf numFmtId="0" fontId="12" fillId="0" borderId="9" xfId="0" applyFont="1" applyBorder="1"/>
    <xf numFmtId="0" fontId="12" fillId="0" borderId="14" xfId="0" applyFont="1" applyBorder="1"/>
    <xf numFmtId="0" fontId="12" fillId="0" borderId="3" xfId="0" applyFont="1" applyBorder="1"/>
    <xf numFmtId="0" fontId="12" fillId="0" borderId="7" xfId="0" applyFont="1" applyBorder="1"/>
    <xf numFmtId="49" fontId="16" fillId="0" borderId="0" xfId="0" applyNumberFormat="1" applyFont="1"/>
    <xf numFmtId="0" fontId="17" fillId="0" borderId="0" xfId="0" applyFont="1"/>
    <xf numFmtId="0" fontId="18" fillId="0" borderId="0" xfId="0" applyFont="1"/>
    <xf numFmtId="0" fontId="11" fillId="0" borderId="0" xfId="0" applyFont="1"/>
    <xf numFmtId="0" fontId="17" fillId="0" borderId="2" xfId="0" applyFont="1" applyBorder="1"/>
    <xf numFmtId="164" fontId="17" fillId="0" borderId="0" xfId="0" applyNumberFormat="1" applyFont="1"/>
    <xf numFmtId="49" fontId="12" fillId="0" borderId="15" xfId="4" applyNumberFormat="1" applyFont="1" applyBorder="1" applyAlignment="1">
      <alignment horizontal="left" wrapText="1"/>
    </xf>
    <xf numFmtId="49" fontId="12" fillId="0" borderId="2" xfId="0" applyNumberFormat="1" applyFont="1" applyBorder="1" applyAlignment="1">
      <alignment horizontal="right" vertical="center" wrapText="1"/>
    </xf>
    <xf numFmtId="49" fontId="12" fillId="0" borderId="4" xfId="0" applyNumberFormat="1" applyFont="1" applyBorder="1" applyAlignment="1">
      <alignment horizontal="right" vertical="center" wrapText="1"/>
    </xf>
    <xf numFmtId="49" fontId="12" fillId="0" borderId="5" xfId="0" applyNumberFormat="1" applyFont="1" applyBorder="1" applyAlignment="1">
      <alignment horizontal="left" wrapText="1"/>
    </xf>
    <xf numFmtId="164" fontId="13" fillId="0" borderId="0" xfId="0" applyNumberFormat="1" applyFont="1" applyAlignment="1">
      <alignment horizontal="right" wrapText="1"/>
    </xf>
    <xf numFmtId="164" fontId="13" fillId="0" borderId="0" xfId="0" applyNumberFormat="1" applyFont="1" applyAlignment="1">
      <alignment horizontal="right"/>
    </xf>
    <xf numFmtId="164" fontId="13" fillId="0" borderId="6" xfId="0" applyNumberFormat="1" applyFont="1" applyBorder="1" applyAlignment="1">
      <alignment horizontal="right"/>
    </xf>
    <xf numFmtId="49" fontId="12" fillId="0" borderId="5" xfId="0" applyNumberFormat="1" applyFont="1" applyBorder="1" applyAlignment="1">
      <alignment vertical="center"/>
    </xf>
    <xf numFmtId="164" fontId="13" fillId="0" borderId="0" xfId="0" applyNumberFormat="1" applyFont="1" applyAlignment="1">
      <alignment horizontal="right" vertical="center"/>
    </xf>
    <xf numFmtId="164" fontId="13" fillId="0" borderId="0" xfId="1" applyNumberFormat="1" applyFont="1" applyBorder="1" applyAlignment="1">
      <alignment horizontal="right" vertical="center"/>
    </xf>
    <xf numFmtId="164" fontId="13" fillId="0" borderId="6" xfId="1" applyNumberFormat="1" applyFont="1" applyBorder="1" applyAlignment="1">
      <alignment horizontal="right" vertical="center"/>
    </xf>
    <xf numFmtId="49" fontId="12" fillId="0" borderId="7" xfId="0" applyNumberFormat="1" applyFont="1" applyBorder="1" applyAlignment="1">
      <alignment vertical="center"/>
    </xf>
    <xf numFmtId="164" fontId="12" fillId="0" borderId="1" xfId="0" applyNumberFormat="1" applyFont="1" applyBorder="1" applyAlignment="1">
      <alignment horizontal="right" vertical="center"/>
    </xf>
    <xf numFmtId="164" fontId="12" fillId="0" borderId="1" xfId="1" applyNumberFormat="1" applyFont="1" applyBorder="1" applyAlignment="1">
      <alignment horizontal="right" vertical="center"/>
    </xf>
    <xf numFmtId="164" fontId="12" fillId="0" borderId="8" xfId="1" applyNumberFormat="1" applyFont="1" applyBorder="1" applyAlignment="1">
      <alignment horizontal="right" vertical="center"/>
    </xf>
    <xf numFmtId="49" fontId="19" fillId="0" borderId="3" xfId="0" applyNumberFormat="1" applyFont="1" applyBorder="1" applyAlignment="1">
      <alignment vertical="center"/>
    </xf>
    <xf numFmtId="164" fontId="20" fillId="0" borderId="2" xfId="0" applyNumberFormat="1" applyFont="1" applyBorder="1" applyAlignment="1">
      <alignment horizontal="right" vertical="center"/>
    </xf>
    <xf numFmtId="164" fontId="13" fillId="0" borderId="2" xfId="1" applyNumberFormat="1" applyFont="1" applyBorder="1" applyAlignment="1">
      <alignment horizontal="right" vertical="center"/>
    </xf>
    <xf numFmtId="164" fontId="13" fillId="0" borderId="4" xfId="1" applyNumberFormat="1" applyFont="1" applyBorder="1" applyAlignment="1">
      <alignment horizontal="right" vertical="center"/>
    </xf>
    <xf numFmtId="49" fontId="13" fillId="0" borderId="5" xfId="0" applyNumberFormat="1" applyFont="1" applyBorder="1" applyAlignment="1">
      <alignment vertical="center"/>
    </xf>
    <xf numFmtId="164" fontId="12" fillId="0" borderId="0" xfId="0" applyNumberFormat="1" applyFont="1" applyAlignment="1">
      <alignment horizontal="right" vertical="center"/>
    </xf>
    <xf numFmtId="164" fontId="12" fillId="0" borderId="0" xfId="1" applyNumberFormat="1" applyFont="1" applyBorder="1" applyAlignment="1">
      <alignment horizontal="right" vertical="center"/>
    </xf>
    <xf numFmtId="164" fontId="12" fillId="0" borderId="6" xfId="1" applyNumberFormat="1" applyFont="1" applyBorder="1" applyAlignment="1">
      <alignment horizontal="right" vertical="center"/>
    </xf>
    <xf numFmtId="49" fontId="19" fillId="0" borderId="9" xfId="0" applyNumberFormat="1" applyFont="1" applyBorder="1" applyAlignment="1">
      <alignment vertical="center"/>
    </xf>
    <xf numFmtId="164" fontId="13" fillId="0" borderId="10" xfId="0" applyNumberFormat="1" applyFont="1" applyBorder="1" applyAlignment="1">
      <alignment horizontal="right" vertical="center"/>
    </xf>
    <xf numFmtId="164" fontId="13" fillId="0" borderId="10" xfId="1" applyNumberFormat="1" applyFont="1" applyBorder="1" applyAlignment="1">
      <alignment horizontal="right" vertical="center"/>
    </xf>
    <xf numFmtId="164" fontId="13" fillId="0" borderId="11" xfId="1" applyNumberFormat="1" applyFont="1" applyBorder="1" applyAlignment="1">
      <alignment horizontal="right" vertical="center"/>
    </xf>
    <xf numFmtId="0" fontId="16" fillId="0" borderId="0" xfId="0" applyFont="1"/>
  </cellXfs>
  <cellStyles count="6">
    <cellStyle name="Comma" xfId="1" builtinId="3" customBuiltin="1"/>
    <cellStyle name="Comma 2" xfId="2" xr:uid="{00000000-0005-0000-0000-000001000000}"/>
    <cellStyle name="Hyperlink" xfId="3" xr:uid="{00000000-0005-0000-0000-000002000000}"/>
    <cellStyle name="Normal" xfId="0" builtinId="0" customBuiltin="1"/>
    <cellStyle name="Normal 2" xfId="4" xr:uid="{00000000-0005-0000-0000-000004000000}"/>
    <cellStyle name="Normal 2 2 2" xfId="5" xr:uid="{03E1CD82-EDB0-4333-995E-6CD06420C5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ensus@education-ni.gov.uk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selection activeCell="H22" sqref="H22"/>
    </sheetView>
  </sheetViews>
  <sheetFormatPr defaultColWidth="9.140625" defaultRowHeight="12.75"/>
  <cols>
    <col min="1" max="1" width="9.140625" style="1" customWidth="1"/>
    <col min="2" max="16384" width="9.140625" style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6" spans="1:1" s="8" customFormat="1">
      <c r="A6" s="2" t="s">
        <v>4</v>
      </c>
    </row>
    <row r="7" spans="1:1">
      <c r="A7" s="8" t="s">
        <v>5</v>
      </c>
    </row>
    <row r="8" spans="1:1">
      <c r="A8" s="8" t="s">
        <v>6</v>
      </c>
    </row>
    <row r="9" spans="1:1">
      <c r="A9" s="8" t="s">
        <v>7</v>
      </c>
    </row>
    <row r="10" spans="1:1">
      <c r="A10" s="8" t="s">
        <v>8</v>
      </c>
    </row>
    <row r="11" spans="1:1">
      <c r="A11" s="8" t="s">
        <v>9</v>
      </c>
    </row>
    <row r="12" spans="1:1" ht="15" customHeight="1"/>
    <row r="13" spans="1:1">
      <c r="A13" s="2" t="s">
        <v>10</v>
      </c>
    </row>
    <row r="14" spans="1:1">
      <c r="A14" s="2"/>
    </row>
    <row r="15" spans="1:1">
      <c r="A15" s="1" t="s">
        <v>11</v>
      </c>
    </row>
    <row r="16" spans="1:1">
      <c r="A16" s="1" t="s">
        <v>12</v>
      </c>
    </row>
    <row r="18" spans="1:5">
      <c r="A18" s="1" t="s">
        <v>13</v>
      </c>
    </row>
    <row r="19" spans="1:5">
      <c r="A19" s="1" t="s">
        <v>14</v>
      </c>
    </row>
    <row r="20" spans="1:5">
      <c r="A20" s="1" t="s">
        <v>15</v>
      </c>
      <c r="E20" s="5"/>
    </row>
    <row r="21" spans="1:5">
      <c r="A21" s="1" t="s">
        <v>16</v>
      </c>
      <c r="E21" s="5"/>
    </row>
    <row r="22" spans="1:5">
      <c r="A22" s="1" t="s">
        <v>17</v>
      </c>
      <c r="E22" s="5"/>
    </row>
    <row r="23" spans="1:5">
      <c r="A23" s="1" t="s">
        <v>18</v>
      </c>
      <c r="E23" s="5"/>
    </row>
    <row r="24" spans="1:5">
      <c r="A24" s="1" t="s">
        <v>19</v>
      </c>
      <c r="E24" s="5"/>
    </row>
    <row r="25" spans="1:5">
      <c r="A25" s="1" t="s">
        <v>20</v>
      </c>
    </row>
    <row r="27" spans="1:5">
      <c r="A27" s="5"/>
      <c r="B27" s="5"/>
      <c r="C27" s="5"/>
      <c r="D27" s="5"/>
    </row>
    <row r="28" spans="1:5">
      <c r="A28" s="5" t="s">
        <v>21</v>
      </c>
      <c r="B28" s="6" t="s">
        <v>22</v>
      </c>
      <c r="C28" s="5"/>
      <c r="D28" s="5"/>
    </row>
    <row r="29" spans="1:5">
      <c r="A29" s="5"/>
      <c r="B29" s="5"/>
      <c r="C29" s="5"/>
      <c r="D29" s="5"/>
    </row>
    <row r="30" spans="1:5">
      <c r="A30" s="7" t="s">
        <v>23</v>
      </c>
      <c r="B30" s="5"/>
      <c r="C30" s="5"/>
      <c r="D30" s="5"/>
    </row>
  </sheetData>
  <hyperlinks>
    <hyperlink ref="B28" r:id="rId1" xr:uid="{00000000-0004-0000-0000-000000000000}"/>
  </hyperlinks>
  <pageMargins left="0.70000000000000007" right="0.70000000000000007" top="0.75" bottom="0.75" header="0.30000000000000004" footer="0.3000000000000000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4"/>
  <sheetViews>
    <sheetView zoomScaleNormal="100" workbookViewId="0">
      <pane xSplit="1" ySplit="3" topLeftCell="B4" activePane="bottomRight" state="frozen"/>
      <selection pane="bottomRight" activeCell="A28" sqref="A28"/>
      <selection pane="bottomLeft" activeCell="A5" sqref="A5"/>
      <selection pane="topRight" activeCell="C1" sqref="C1"/>
    </sheetView>
  </sheetViews>
  <sheetFormatPr defaultColWidth="8.85546875" defaultRowHeight="15"/>
  <cols>
    <col min="1" max="1" width="60" style="3" customWidth="1"/>
    <col min="2" max="2" width="10" style="3" customWidth="1"/>
    <col min="3" max="3" width="8.85546875" style="3" customWidth="1"/>
    <col min="4" max="4" width="9.42578125" style="3" customWidth="1"/>
    <col min="5" max="5" width="9.28515625" style="3" customWidth="1"/>
    <col min="6" max="6" width="8.28515625" style="3" customWidth="1"/>
    <col min="7" max="7" width="9.28515625" style="3" customWidth="1"/>
    <col min="8" max="8" width="8.7109375" style="3" customWidth="1"/>
    <col min="9" max="9" width="9.5703125" style="3" customWidth="1"/>
    <col min="10" max="10" width="8.7109375" style="3" customWidth="1"/>
    <col min="11" max="11" width="9.140625" style="3" customWidth="1"/>
    <col min="12" max="12" width="8.85546875" style="3" customWidth="1"/>
    <col min="13" max="18" width="9.28515625" style="3" customWidth="1"/>
    <col min="19" max="19" width="9.42578125" style="3" customWidth="1"/>
    <col min="20" max="21" width="8.85546875" style="3" customWidth="1"/>
    <col min="22" max="16384" width="8.85546875" style="3"/>
  </cols>
  <sheetData>
    <row r="1" spans="1:27" s="33" customFormat="1" ht="18.75">
      <c r="A1" s="32" t="s">
        <v>24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7" s="33" customFormat="1" ht="15.75" thickBot="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1:27" s="33" customFormat="1" ht="24.75" customHeight="1">
      <c r="A3" s="38" t="s">
        <v>25</v>
      </c>
      <c r="B3" s="39" t="s">
        <v>26</v>
      </c>
      <c r="C3" s="39" t="s">
        <v>27</v>
      </c>
      <c r="D3" s="39" t="s">
        <v>28</v>
      </c>
      <c r="E3" s="39" t="s">
        <v>29</v>
      </c>
      <c r="F3" s="39" t="s">
        <v>30</v>
      </c>
      <c r="G3" s="39" t="s">
        <v>31</v>
      </c>
      <c r="H3" s="39" t="s">
        <v>32</v>
      </c>
      <c r="I3" s="39" t="s">
        <v>33</v>
      </c>
      <c r="J3" s="39" t="s">
        <v>34</v>
      </c>
      <c r="K3" s="39" t="s">
        <v>35</v>
      </c>
      <c r="L3" s="39" t="s">
        <v>36</v>
      </c>
      <c r="M3" s="39" t="s">
        <v>37</v>
      </c>
      <c r="N3" s="39" t="s">
        <v>38</v>
      </c>
      <c r="O3" s="39" t="s">
        <v>39</v>
      </c>
      <c r="P3" s="39" t="s">
        <v>40</v>
      </c>
      <c r="Q3" s="39" t="s">
        <v>41</v>
      </c>
      <c r="R3" s="39" t="s">
        <v>42</v>
      </c>
      <c r="S3" s="39" t="s">
        <v>43</v>
      </c>
      <c r="T3" s="39" t="s">
        <v>44</v>
      </c>
      <c r="U3" s="39" t="s">
        <v>45</v>
      </c>
      <c r="V3" s="39" t="s">
        <v>46</v>
      </c>
      <c r="W3" s="39" t="s">
        <v>47</v>
      </c>
      <c r="X3" s="39" t="s">
        <v>48</v>
      </c>
      <c r="Y3" s="39" t="s">
        <v>49</v>
      </c>
      <c r="Z3" s="40" t="s">
        <v>50</v>
      </c>
    </row>
    <row r="4" spans="1:27" s="33" customFormat="1" ht="16.5" customHeight="1">
      <c r="A4" s="41" t="s">
        <v>51</v>
      </c>
      <c r="B4" s="42">
        <v>0</v>
      </c>
      <c r="C4" s="42">
        <v>0</v>
      </c>
      <c r="D4" s="42">
        <v>0</v>
      </c>
      <c r="E4" s="42">
        <v>0</v>
      </c>
      <c r="F4" s="42">
        <v>0</v>
      </c>
      <c r="G4" s="42">
        <v>0</v>
      </c>
      <c r="H4" s="43">
        <v>0</v>
      </c>
      <c r="I4" s="43">
        <v>0</v>
      </c>
      <c r="J4" s="43">
        <v>0</v>
      </c>
      <c r="K4" s="43">
        <v>0</v>
      </c>
      <c r="L4" s="43">
        <v>0</v>
      </c>
      <c r="M4" s="43">
        <v>0</v>
      </c>
      <c r="N4" s="43">
        <v>0</v>
      </c>
      <c r="O4" s="43">
        <v>0</v>
      </c>
      <c r="P4" s="43">
        <v>0</v>
      </c>
      <c r="Q4" s="43">
        <v>0</v>
      </c>
      <c r="R4" s="43">
        <v>0</v>
      </c>
      <c r="S4" s="43">
        <v>0</v>
      </c>
      <c r="T4" s="43">
        <v>0</v>
      </c>
      <c r="U4" s="43">
        <v>0</v>
      </c>
      <c r="V4" s="43">
        <v>0</v>
      </c>
      <c r="W4" s="43">
        <v>0</v>
      </c>
      <c r="X4" s="43">
        <v>0</v>
      </c>
      <c r="Y4" s="43">
        <v>0</v>
      </c>
      <c r="Z4" s="44">
        <v>133</v>
      </c>
    </row>
    <row r="5" spans="1:27" s="33" customFormat="1" ht="16.5" customHeight="1">
      <c r="A5" s="41" t="s">
        <v>52</v>
      </c>
      <c r="B5" s="42">
        <v>400</v>
      </c>
      <c r="C5" s="42">
        <v>338</v>
      </c>
      <c r="D5" s="42">
        <v>334</v>
      </c>
      <c r="E5" s="42">
        <v>397</v>
      </c>
      <c r="F5" s="42">
        <v>407</v>
      </c>
      <c r="G5" s="42">
        <v>448</v>
      </c>
      <c r="H5" s="43">
        <v>466</v>
      </c>
      <c r="I5" s="43">
        <v>436</v>
      </c>
      <c r="J5" s="43">
        <v>435</v>
      </c>
      <c r="K5" s="43">
        <v>434</v>
      </c>
      <c r="L5" s="43">
        <v>473</v>
      </c>
      <c r="M5" s="43">
        <v>468</v>
      </c>
      <c r="N5" s="43">
        <v>476</v>
      </c>
      <c r="O5" s="43">
        <v>488</v>
      </c>
      <c r="P5" s="43">
        <v>481</v>
      </c>
      <c r="Q5" s="43">
        <v>485</v>
      </c>
      <c r="R5" s="43">
        <v>473</v>
      </c>
      <c r="S5" s="43">
        <v>470</v>
      </c>
      <c r="T5" s="43">
        <v>480</v>
      </c>
      <c r="U5" s="43">
        <v>452</v>
      </c>
      <c r="V5" s="43">
        <v>414</v>
      </c>
      <c r="W5" s="43">
        <v>410</v>
      </c>
      <c r="X5" s="43">
        <v>411</v>
      </c>
      <c r="Y5" s="43">
        <v>365</v>
      </c>
      <c r="Z5" s="44">
        <v>218</v>
      </c>
    </row>
    <row r="6" spans="1:27" s="33" customFormat="1">
      <c r="A6" s="45" t="s">
        <v>53</v>
      </c>
      <c r="B6" s="46">
        <v>0</v>
      </c>
      <c r="C6" s="46">
        <v>26</v>
      </c>
      <c r="D6" s="46">
        <v>50</v>
      </c>
      <c r="E6" s="46">
        <v>52</v>
      </c>
      <c r="F6" s="46">
        <v>52</v>
      </c>
      <c r="G6" s="46">
        <v>52</v>
      </c>
      <c r="H6" s="47">
        <v>52</v>
      </c>
      <c r="I6" s="47">
        <v>73</v>
      </c>
      <c r="J6" s="47">
        <v>104</v>
      </c>
      <c r="K6" s="47">
        <v>235</v>
      </c>
      <c r="L6" s="47">
        <v>258</v>
      </c>
      <c r="M6" s="47">
        <v>309</v>
      </c>
      <c r="N6" s="47">
        <v>312</v>
      </c>
      <c r="O6" s="47">
        <v>315</v>
      </c>
      <c r="P6" s="47">
        <v>354</v>
      </c>
      <c r="Q6" s="47">
        <v>318</v>
      </c>
      <c r="R6" s="47">
        <v>319</v>
      </c>
      <c r="S6" s="47">
        <v>366</v>
      </c>
      <c r="T6" s="47">
        <v>323</v>
      </c>
      <c r="U6" s="47">
        <v>318</v>
      </c>
      <c r="V6" s="47">
        <v>309</v>
      </c>
      <c r="W6" s="47">
        <v>308</v>
      </c>
      <c r="X6" s="47">
        <v>315</v>
      </c>
      <c r="Y6" s="47">
        <v>301</v>
      </c>
      <c r="Z6" s="48">
        <v>396</v>
      </c>
    </row>
    <row r="7" spans="1:27" s="33" customFormat="1" ht="15" customHeight="1">
      <c r="A7" s="45" t="s">
        <v>54</v>
      </c>
      <c r="B7" s="46">
        <v>0</v>
      </c>
      <c r="C7" s="46">
        <v>43</v>
      </c>
      <c r="D7" s="46">
        <v>48</v>
      </c>
      <c r="E7" s="46">
        <v>43</v>
      </c>
      <c r="F7" s="46">
        <v>43</v>
      </c>
      <c r="G7" s="46">
        <v>35</v>
      </c>
      <c r="H7" s="47">
        <v>41</v>
      </c>
      <c r="I7" s="47">
        <v>49</v>
      </c>
      <c r="J7" s="47">
        <v>52</v>
      </c>
      <c r="K7" s="47">
        <v>23</v>
      </c>
      <c r="L7" s="47">
        <v>0</v>
      </c>
      <c r="M7" s="47">
        <v>0</v>
      </c>
      <c r="N7" s="47">
        <v>0</v>
      </c>
      <c r="O7" s="47">
        <v>52</v>
      </c>
      <c r="P7" s="47">
        <v>26</v>
      </c>
      <c r="Q7" s="47">
        <v>76</v>
      </c>
      <c r="R7" s="47">
        <v>105</v>
      </c>
      <c r="S7" s="47">
        <v>103</v>
      </c>
      <c r="T7" s="47">
        <v>150</v>
      </c>
      <c r="U7" s="47">
        <v>149</v>
      </c>
      <c r="V7" s="47">
        <v>148</v>
      </c>
      <c r="W7" s="47">
        <v>148</v>
      </c>
      <c r="X7" s="47">
        <v>174</v>
      </c>
      <c r="Y7" s="47">
        <v>272</v>
      </c>
      <c r="Z7" s="48">
        <v>206</v>
      </c>
    </row>
    <row r="8" spans="1:27" s="33" customFormat="1">
      <c r="A8" s="45" t="s">
        <v>55</v>
      </c>
      <c r="B8" s="46">
        <v>0</v>
      </c>
      <c r="C8" s="46">
        <v>0</v>
      </c>
      <c r="D8" s="46">
        <v>0</v>
      </c>
      <c r="E8" s="46">
        <v>0</v>
      </c>
      <c r="F8" s="46">
        <v>0</v>
      </c>
      <c r="G8" s="46">
        <v>0</v>
      </c>
      <c r="H8" s="47">
        <v>0</v>
      </c>
      <c r="I8" s="47">
        <v>0</v>
      </c>
      <c r="J8" s="47">
        <v>26</v>
      </c>
      <c r="K8" s="47">
        <v>26</v>
      </c>
      <c r="L8" s="47">
        <v>26</v>
      </c>
      <c r="M8" s="47">
        <v>26</v>
      </c>
      <c r="N8" s="47">
        <v>26</v>
      </c>
      <c r="O8" s="47">
        <v>30</v>
      </c>
      <c r="P8" s="47">
        <v>30</v>
      </c>
      <c r="Q8" s="47">
        <v>30</v>
      </c>
      <c r="R8" s="47">
        <v>26</v>
      </c>
      <c r="S8" s="47">
        <v>26</v>
      </c>
      <c r="T8" s="47">
        <v>30</v>
      </c>
      <c r="U8" s="47">
        <v>30</v>
      </c>
      <c r="V8" s="47">
        <v>25</v>
      </c>
      <c r="W8" s="47">
        <v>26</v>
      </c>
      <c r="X8" s="47">
        <v>26</v>
      </c>
      <c r="Y8" s="47">
        <v>29</v>
      </c>
      <c r="Z8" s="48">
        <v>30</v>
      </c>
    </row>
    <row r="9" spans="1:27" s="33" customFormat="1">
      <c r="A9" s="45" t="s">
        <v>56</v>
      </c>
      <c r="B9" s="46">
        <v>0</v>
      </c>
      <c r="C9" s="46">
        <v>0</v>
      </c>
      <c r="D9" s="46">
        <v>0</v>
      </c>
      <c r="E9" s="46">
        <v>0</v>
      </c>
      <c r="F9" s="46">
        <v>0</v>
      </c>
      <c r="G9" s="46">
        <v>0</v>
      </c>
      <c r="H9" s="47">
        <v>0</v>
      </c>
      <c r="I9" s="47">
        <v>0</v>
      </c>
      <c r="J9" s="47">
        <v>0</v>
      </c>
      <c r="K9" s="47">
        <v>0</v>
      </c>
      <c r="L9" s="47">
        <v>0</v>
      </c>
      <c r="M9" s="47">
        <v>0</v>
      </c>
      <c r="N9" s="47">
        <v>0</v>
      </c>
      <c r="O9" s="47">
        <v>0</v>
      </c>
      <c r="P9" s="47">
        <v>0</v>
      </c>
      <c r="Q9" s="47">
        <v>0</v>
      </c>
      <c r="R9" s="47">
        <v>0</v>
      </c>
      <c r="S9" s="47" t="s">
        <v>57</v>
      </c>
      <c r="T9" s="47" t="s">
        <v>57</v>
      </c>
      <c r="U9" s="47" t="s">
        <v>57</v>
      </c>
      <c r="V9" s="47" t="s">
        <v>57</v>
      </c>
      <c r="W9" s="47" t="s">
        <v>57</v>
      </c>
      <c r="X9" s="47" t="s">
        <v>57</v>
      </c>
      <c r="Y9" s="47" t="s">
        <v>57</v>
      </c>
      <c r="Z9" s="48">
        <v>26</v>
      </c>
    </row>
    <row r="10" spans="1:27" s="33" customFormat="1" ht="16.899999999999999" customHeight="1">
      <c r="A10" s="45" t="s">
        <v>58</v>
      </c>
      <c r="B10" s="46">
        <v>0</v>
      </c>
      <c r="C10" s="46">
        <v>0</v>
      </c>
      <c r="D10" s="46">
        <v>0</v>
      </c>
      <c r="E10" s="46">
        <v>0</v>
      </c>
      <c r="F10" s="46">
        <v>0</v>
      </c>
      <c r="G10" s="46">
        <v>0</v>
      </c>
      <c r="H10" s="47">
        <v>0</v>
      </c>
      <c r="I10" s="47">
        <v>0</v>
      </c>
      <c r="J10" s="47">
        <v>5</v>
      </c>
      <c r="K10" s="47">
        <v>0</v>
      </c>
      <c r="L10" s="47">
        <v>0</v>
      </c>
      <c r="M10" s="47">
        <v>0</v>
      </c>
      <c r="N10" s="47">
        <v>0</v>
      </c>
      <c r="O10" s="47">
        <v>0</v>
      </c>
      <c r="P10" s="47">
        <v>0</v>
      </c>
      <c r="Q10" s="47">
        <v>0</v>
      </c>
      <c r="R10" s="47">
        <v>0</v>
      </c>
      <c r="S10" s="47" t="s">
        <v>57</v>
      </c>
      <c r="T10" s="47" t="s">
        <v>57</v>
      </c>
      <c r="U10" s="47" t="s">
        <v>57</v>
      </c>
      <c r="V10" s="47" t="s">
        <v>57</v>
      </c>
      <c r="W10" s="47" t="s">
        <v>57</v>
      </c>
      <c r="X10" s="47" t="s">
        <v>57</v>
      </c>
      <c r="Y10" s="47" t="s">
        <v>57</v>
      </c>
      <c r="Z10" s="48" t="s">
        <v>57</v>
      </c>
    </row>
    <row r="11" spans="1:27" s="34" customFormat="1" ht="17.45" customHeight="1">
      <c r="A11" s="49" t="s">
        <v>59</v>
      </c>
      <c r="B11" s="50">
        <v>400</v>
      </c>
      <c r="C11" s="50">
        <v>407</v>
      </c>
      <c r="D11" s="50">
        <v>432</v>
      </c>
      <c r="E11" s="50">
        <v>492</v>
      </c>
      <c r="F11" s="50">
        <v>502</v>
      </c>
      <c r="G11" s="50">
        <v>535</v>
      </c>
      <c r="H11" s="51">
        <v>559</v>
      </c>
      <c r="I11" s="51">
        <v>558</v>
      </c>
      <c r="J11" s="51">
        <v>622</v>
      </c>
      <c r="K11" s="51">
        <v>718</v>
      </c>
      <c r="L11" s="51">
        <v>757</v>
      </c>
      <c r="M11" s="51">
        <v>803</v>
      </c>
      <c r="N11" s="51">
        <v>814</v>
      </c>
      <c r="O11" s="51">
        <v>885</v>
      </c>
      <c r="P11" s="51">
        <v>891</v>
      </c>
      <c r="Q11" s="51">
        <v>909</v>
      </c>
      <c r="R11" s="51">
        <v>923</v>
      </c>
      <c r="S11" s="51">
        <v>965</v>
      </c>
      <c r="T11" s="51">
        <v>983</v>
      </c>
      <c r="U11" s="51">
        <v>949</v>
      </c>
      <c r="V11" s="51">
        <v>896</v>
      </c>
      <c r="W11" s="51">
        <v>892</v>
      </c>
      <c r="X11" s="51">
        <v>926</v>
      </c>
      <c r="Y11" s="51">
        <v>967</v>
      </c>
      <c r="Z11" s="52">
        <v>1009</v>
      </c>
    </row>
    <row r="12" spans="1:27" s="33" customFormat="1">
      <c r="A12" s="53" t="s">
        <v>60</v>
      </c>
      <c r="B12" s="54"/>
      <c r="C12" s="54"/>
      <c r="D12" s="54"/>
      <c r="E12" s="54"/>
      <c r="F12" s="54"/>
      <c r="G12" s="54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6"/>
    </row>
    <row r="13" spans="1:27" s="33" customFormat="1">
      <c r="A13" s="57" t="s">
        <v>61</v>
      </c>
      <c r="B13" s="46">
        <v>652</v>
      </c>
      <c r="C13" s="46">
        <v>1539</v>
      </c>
      <c r="D13" s="46">
        <v>1665</v>
      </c>
      <c r="E13" s="46">
        <v>1793</v>
      </c>
      <c r="F13" s="46">
        <v>1849</v>
      </c>
      <c r="G13" s="46">
        <v>1954</v>
      </c>
      <c r="H13" s="47">
        <v>2039</v>
      </c>
      <c r="I13" s="47">
        <v>2095</v>
      </c>
      <c r="J13" s="47">
        <v>2097</v>
      </c>
      <c r="K13" s="47">
        <v>2137</v>
      </c>
      <c r="L13" s="47">
        <v>2191</v>
      </c>
      <c r="M13" s="47">
        <v>2411</v>
      </c>
      <c r="N13" s="47">
        <v>2570</v>
      </c>
      <c r="O13" s="47">
        <v>2738</v>
      </c>
      <c r="P13" s="47">
        <v>2906</v>
      </c>
      <c r="Q13" s="47">
        <v>3103</v>
      </c>
      <c r="R13" s="47">
        <v>3324</v>
      </c>
      <c r="S13" s="47">
        <v>3473</v>
      </c>
      <c r="T13" s="47">
        <v>3565</v>
      </c>
      <c r="U13" s="47">
        <v>3637</v>
      </c>
      <c r="V13" s="47">
        <v>3686</v>
      </c>
      <c r="W13" s="47">
        <v>3675</v>
      </c>
      <c r="X13" s="47">
        <v>3636</v>
      </c>
      <c r="Y13" s="47">
        <v>3638</v>
      </c>
      <c r="Z13" s="48">
        <v>3667</v>
      </c>
      <c r="AA13" s="35"/>
    </row>
    <row r="14" spans="1:27" s="33" customFormat="1">
      <c r="A14" s="57" t="s">
        <v>62</v>
      </c>
      <c r="B14" s="46" t="s">
        <v>63</v>
      </c>
      <c r="C14" s="46">
        <v>317</v>
      </c>
      <c r="D14" s="46">
        <v>401</v>
      </c>
      <c r="E14" s="46">
        <v>431</v>
      </c>
      <c r="F14" s="46">
        <v>478</v>
      </c>
      <c r="G14" s="46">
        <v>553</v>
      </c>
      <c r="H14" s="47">
        <v>614</v>
      </c>
      <c r="I14" s="47">
        <v>634</v>
      </c>
      <c r="J14" s="47">
        <v>650</v>
      </c>
      <c r="K14" s="47">
        <v>670</v>
      </c>
      <c r="L14" s="47">
        <v>682</v>
      </c>
      <c r="M14" s="47">
        <v>644</v>
      </c>
      <c r="N14" s="47">
        <v>686</v>
      </c>
      <c r="O14" s="47">
        <v>720</v>
      </c>
      <c r="P14" s="47">
        <v>764</v>
      </c>
      <c r="Q14" s="47">
        <v>802</v>
      </c>
      <c r="R14" s="47">
        <v>832</v>
      </c>
      <c r="S14" s="47">
        <v>878</v>
      </c>
      <c r="T14" s="47">
        <v>945</v>
      </c>
      <c r="U14" s="47">
        <v>967</v>
      </c>
      <c r="V14" s="47">
        <v>975</v>
      </c>
      <c r="W14" s="47">
        <v>997</v>
      </c>
      <c r="X14" s="47">
        <v>996</v>
      </c>
      <c r="Y14" s="47">
        <v>983</v>
      </c>
      <c r="Z14" s="48">
        <v>1064</v>
      </c>
    </row>
    <row r="15" spans="1:27" s="34" customFormat="1">
      <c r="A15" s="49" t="s">
        <v>59</v>
      </c>
      <c r="B15" s="50">
        <v>652</v>
      </c>
      <c r="C15" s="50">
        <v>1856</v>
      </c>
      <c r="D15" s="50">
        <v>2066</v>
      </c>
      <c r="E15" s="50">
        <v>2224</v>
      </c>
      <c r="F15" s="50">
        <v>2327</v>
      </c>
      <c r="G15" s="50">
        <v>2507</v>
      </c>
      <c r="H15" s="51">
        <v>2653</v>
      </c>
      <c r="I15" s="51">
        <v>2729</v>
      </c>
      <c r="J15" s="51">
        <v>2747</v>
      </c>
      <c r="K15" s="51">
        <v>2807</v>
      </c>
      <c r="L15" s="51">
        <v>2873</v>
      </c>
      <c r="M15" s="51">
        <v>3055</v>
      </c>
      <c r="N15" s="51">
        <v>3256</v>
      </c>
      <c r="O15" s="51">
        <v>3458</v>
      </c>
      <c r="P15" s="51">
        <v>3670</v>
      </c>
      <c r="Q15" s="51">
        <v>3905</v>
      </c>
      <c r="R15" s="51">
        <v>4156</v>
      </c>
      <c r="S15" s="51">
        <v>4351</v>
      </c>
      <c r="T15" s="51">
        <v>4510</v>
      </c>
      <c r="U15" s="51">
        <v>4604</v>
      </c>
      <c r="V15" s="51">
        <v>4661</v>
      </c>
      <c r="W15" s="51">
        <v>4672</v>
      </c>
      <c r="X15" s="51">
        <v>4632</v>
      </c>
      <c r="Y15" s="51">
        <v>4621</v>
      </c>
      <c r="Z15" s="52">
        <v>4731</v>
      </c>
    </row>
    <row r="16" spans="1:27" s="33" customFormat="1">
      <c r="A16" s="53" t="s">
        <v>64</v>
      </c>
      <c r="B16" s="54"/>
      <c r="C16" s="54"/>
      <c r="D16" s="54"/>
      <c r="E16" s="54"/>
      <c r="F16" s="54"/>
      <c r="G16" s="54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6"/>
    </row>
    <row r="17" spans="1:26" s="33" customFormat="1">
      <c r="A17" s="57" t="s">
        <v>61</v>
      </c>
      <c r="B17" s="46">
        <v>342</v>
      </c>
      <c r="C17" s="46">
        <v>364</v>
      </c>
      <c r="D17" s="46">
        <v>406</v>
      </c>
      <c r="E17" s="46">
        <v>442</v>
      </c>
      <c r="F17" s="46">
        <v>470</v>
      </c>
      <c r="G17" s="46">
        <v>489</v>
      </c>
      <c r="H17" s="47">
        <v>506</v>
      </c>
      <c r="I17" s="47">
        <v>513</v>
      </c>
      <c r="J17" s="47">
        <v>561</v>
      </c>
      <c r="K17" s="47">
        <v>553</v>
      </c>
      <c r="L17" s="47">
        <v>550</v>
      </c>
      <c r="M17" s="47">
        <v>541</v>
      </c>
      <c r="N17" s="47">
        <v>564</v>
      </c>
      <c r="O17" s="47">
        <v>581</v>
      </c>
      <c r="P17" s="47">
        <v>620</v>
      </c>
      <c r="Q17" s="47">
        <v>694</v>
      </c>
      <c r="R17" s="47">
        <v>734</v>
      </c>
      <c r="S17" s="47">
        <v>799</v>
      </c>
      <c r="T17" s="47">
        <v>895</v>
      </c>
      <c r="U17" s="47">
        <v>1019</v>
      </c>
      <c r="V17" s="47">
        <v>1113</v>
      </c>
      <c r="W17" s="47">
        <v>1177</v>
      </c>
      <c r="X17" s="47">
        <v>1265</v>
      </c>
      <c r="Y17" s="47">
        <v>1366</v>
      </c>
      <c r="Z17" s="48">
        <v>1373</v>
      </c>
    </row>
    <row r="18" spans="1:26" s="33" customFormat="1">
      <c r="A18" s="57" t="s">
        <v>62</v>
      </c>
      <c r="B18" s="46" t="s">
        <v>63</v>
      </c>
      <c r="C18" s="46">
        <v>61</v>
      </c>
      <c r="D18" s="46">
        <v>74</v>
      </c>
      <c r="E18" s="46">
        <v>79</v>
      </c>
      <c r="F18" s="46">
        <v>100</v>
      </c>
      <c r="G18" s="46">
        <v>122</v>
      </c>
      <c r="H18" s="47">
        <v>126</v>
      </c>
      <c r="I18" s="47">
        <v>132</v>
      </c>
      <c r="J18" s="47">
        <v>145</v>
      </c>
      <c r="K18" s="47">
        <v>159</v>
      </c>
      <c r="L18" s="47">
        <v>212</v>
      </c>
      <c r="M18" s="47">
        <v>228</v>
      </c>
      <c r="N18" s="47">
        <v>267</v>
      </c>
      <c r="O18" s="47">
        <v>332</v>
      </c>
      <c r="P18" s="47">
        <v>344</v>
      </c>
      <c r="Q18" s="47">
        <v>355</v>
      </c>
      <c r="R18" s="47">
        <v>371</v>
      </c>
      <c r="S18" s="47">
        <v>404</v>
      </c>
      <c r="T18" s="47">
        <v>428</v>
      </c>
      <c r="U18" s="47">
        <v>492</v>
      </c>
      <c r="V18" s="47">
        <v>562</v>
      </c>
      <c r="W18" s="47">
        <v>569</v>
      </c>
      <c r="X18" s="47">
        <v>591</v>
      </c>
      <c r="Y18" s="47">
        <v>644</v>
      </c>
      <c r="Z18" s="48">
        <v>698</v>
      </c>
    </row>
    <row r="19" spans="1:26" s="34" customFormat="1">
      <c r="A19" s="45" t="s">
        <v>59</v>
      </c>
      <c r="B19" s="58">
        <v>342</v>
      </c>
      <c r="C19" s="58">
        <v>425</v>
      </c>
      <c r="D19" s="58">
        <v>480</v>
      </c>
      <c r="E19" s="58">
        <v>521</v>
      </c>
      <c r="F19" s="58">
        <v>570</v>
      </c>
      <c r="G19" s="58">
        <v>611</v>
      </c>
      <c r="H19" s="59">
        <v>632</v>
      </c>
      <c r="I19" s="59">
        <v>645</v>
      </c>
      <c r="J19" s="59">
        <v>706</v>
      </c>
      <c r="K19" s="59">
        <v>712</v>
      </c>
      <c r="L19" s="59">
        <v>762</v>
      </c>
      <c r="M19" s="59">
        <v>769</v>
      </c>
      <c r="N19" s="59">
        <v>831</v>
      </c>
      <c r="O19" s="59">
        <v>913</v>
      </c>
      <c r="P19" s="59">
        <v>964</v>
      </c>
      <c r="Q19" s="59">
        <v>1049</v>
      </c>
      <c r="R19" s="59">
        <v>1105</v>
      </c>
      <c r="S19" s="59">
        <v>1203</v>
      </c>
      <c r="T19" s="59">
        <v>1323</v>
      </c>
      <c r="U19" s="59">
        <v>1511</v>
      </c>
      <c r="V19" s="59">
        <v>1675</v>
      </c>
      <c r="W19" s="59">
        <v>1746</v>
      </c>
      <c r="X19" s="59">
        <v>1856</v>
      </c>
      <c r="Y19" s="59">
        <v>2010</v>
      </c>
      <c r="Z19" s="60">
        <v>2071</v>
      </c>
    </row>
    <row r="20" spans="1:26" s="33" customFormat="1">
      <c r="A20" s="61" t="s">
        <v>65</v>
      </c>
      <c r="B20" s="62">
        <v>208</v>
      </c>
      <c r="C20" s="62">
        <v>116</v>
      </c>
      <c r="D20" s="62">
        <v>54</v>
      </c>
      <c r="E20" s="62">
        <v>54</v>
      </c>
      <c r="F20" s="62">
        <v>29</v>
      </c>
      <c r="G20" s="62">
        <v>49</v>
      </c>
      <c r="H20" s="63">
        <v>31</v>
      </c>
      <c r="I20" s="63">
        <v>9</v>
      </c>
      <c r="J20" s="63">
        <v>0</v>
      </c>
      <c r="K20" s="63">
        <v>11</v>
      </c>
      <c r="L20" s="63">
        <v>7</v>
      </c>
      <c r="M20" s="63">
        <v>6</v>
      </c>
      <c r="N20" s="63">
        <v>15</v>
      </c>
      <c r="O20" s="63" t="s">
        <v>57</v>
      </c>
      <c r="P20" s="63" t="s">
        <v>57</v>
      </c>
      <c r="Q20" s="63" t="s">
        <v>57</v>
      </c>
      <c r="R20" s="63" t="s">
        <v>57</v>
      </c>
      <c r="S20" s="63" t="s">
        <v>57</v>
      </c>
      <c r="T20" s="63" t="s">
        <v>57</v>
      </c>
      <c r="U20" s="63" t="s">
        <v>57</v>
      </c>
      <c r="V20" s="63" t="s">
        <v>57</v>
      </c>
      <c r="W20" s="63" t="s">
        <v>57</v>
      </c>
      <c r="X20" s="63" t="s">
        <v>57</v>
      </c>
      <c r="Y20" s="63" t="s">
        <v>57</v>
      </c>
      <c r="Z20" s="64"/>
    </row>
    <row r="21" spans="1:26" s="34" customFormat="1">
      <c r="A21" s="49" t="s">
        <v>66</v>
      </c>
      <c r="B21" s="50">
        <v>1602</v>
      </c>
      <c r="C21" s="50">
        <v>2804</v>
      </c>
      <c r="D21" s="50">
        <v>3032</v>
      </c>
      <c r="E21" s="50">
        <v>3291</v>
      </c>
      <c r="F21" s="50">
        <v>3428</v>
      </c>
      <c r="G21" s="50">
        <v>3702</v>
      </c>
      <c r="H21" s="51">
        <v>3875</v>
      </c>
      <c r="I21" s="51">
        <v>3941</v>
      </c>
      <c r="J21" s="51">
        <v>4075</v>
      </c>
      <c r="K21" s="51">
        <v>4248</v>
      </c>
      <c r="L21" s="51">
        <v>4399</v>
      </c>
      <c r="M21" s="51">
        <v>4633</v>
      </c>
      <c r="N21" s="51">
        <v>4916</v>
      </c>
      <c r="O21" s="51">
        <v>5256</v>
      </c>
      <c r="P21" s="51">
        <v>5525</v>
      </c>
      <c r="Q21" s="51">
        <v>5863</v>
      </c>
      <c r="R21" s="51">
        <v>6184</v>
      </c>
      <c r="S21" s="51">
        <v>6519</v>
      </c>
      <c r="T21" s="51">
        <v>6816</v>
      </c>
      <c r="U21" s="51">
        <v>7064</v>
      </c>
      <c r="V21" s="51">
        <v>7232</v>
      </c>
      <c r="W21" s="51">
        <v>7310</v>
      </c>
      <c r="X21" s="51">
        <v>7414</v>
      </c>
      <c r="Y21" s="51">
        <v>7598</v>
      </c>
      <c r="Z21" s="52">
        <v>7811</v>
      </c>
    </row>
    <row r="22" spans="1:26" s="33" customFormat="1">
      <c r="M22" s="36"/>
      <c r="Q22" s="37"/>
      <c r="R22" s="37"/>
    </row>
    <row r="23" spans="1:26">
      <c r="A23" s="9" t="s">
        <v>67</v>
      </c>
    </row>
    <row r="24" spans="1:26">
      <c r="A24" s="9" t="s">
        <v>68</v>
      </c>
    </row>
  </sheetData>
  <phoneticPr fontId="9" type="noConversion"/>
  <pageMargins left="0.70000000000000007" right="0.70000000000000007" top="0.75" bottom="0.75" header="0.30000000000000004" footer="0.30000000000000004"/>
  <pageSetup paperSize="9" fitToWidth="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6"/>
  <sheetViews>
    <sheetView workbookViewId="0">
      <pane xSplit="1" ySplit="3" topLeftCell="B4" activePane="bottomRight" state="frozen"/>
      <selection pane="bottomRight" activeCell="L23" sqref="L23"/>
      <selection pane="bottomLeft" activeCell="A4" sqref="A4"/>
      <selection pane="topRight" activeCell="B1" sqref="B1"/>
    </sheetView>
  </sheetViews>
  <sheetFormatPr defaultColWidth="8.85546875" defaultRowHeight="15"/>
  <cols>
    <col min="1" max="1" width="58.5703125" style="4" customWidth="1"/>
    <col min="2" max="21" width="8.85546875" style="4" customWidth="1"/>
    <col min="22" max="16384" width="8.85546875" style="4"/>
  </cols>
  <sheetData>
    <row r="1" spans="1:26" s="11" customFormat="1" ht="19.899999999999999" customHeight="1">
      <c r="A1" s="65" t="s">
        <v>69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</row>
    <row r="2" spans="1:26" s="11" customFormat="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</row>
    <row r="3" spans="1:26" s="11" customFormat="1">
      <c r="A3" s="12"/>
      <c r="B3" s="13" t="s">
        <v>26</v>
      </c>
      <c r="C3" s="14" t="s">
        <v>27</v>
      </c>
      <c r="D3" s="14" t="s">
        <v>28</v>
      </c>
      <c r="E3" s="14" t="s">
        <v>29</v>
      </c>
      <c r="F3" s="14" t="s">
        <v>30</v>
      </c>
      <c r="G3" s="14" t="s">
        <v>31</v>
      </c>
      <c r="H3" s="14" t="s">
        <v>32</v>
      </c>
      <c r="I3" s="14" t="s">
        <v>33</v>
      </c>
      <c r="J3" s="14" t="s">
        <v>34</v>
      </c>
      <c r="K3" s="14" t="s">
        <v>35</v>
      </c>
      <c r="L3" s="14" t="s">
        <v>36</v>
      </c>
      <c r="M3" s="14" t="s">
        <v>37</v>
      </c>
      <c r="N3" s="14" t="s">
        <v>38</v>
      </c>
      <c r="O3" s="14" t="s">
        <v>39</v>
      </c>
      <c r="P3" s="14" t="s">
        <v>40</v>
      </c>
      <c r="Q3" s="14" t="s">
        <v>41</v>
      </c>
      <c r="R3" s="14" t="s">
        <v>42</v>
      </c>
      <c r="S3" s="14" t="s">
        <v>43</v>
      </c>
      <c r="T3" s="15" t="s">
        <v>44</v>
      </c>
      <c r="U3" s="15" t="s">
        <v>45</v>
      </c>
      <c r="V3" s="15" t="s">
        <v>46</v>
      </c>
      <c r="W3" s="15" t="s">
        <v>47</v>
      </c>
      <c r="X3" s="15" t="s">
        <v>48</v>
      </c>
      <c r="Y3" s="15" t="s">
        <v>49</v>
      </c>
      <c r="Z3" s="16" t="s">
        <v>50</v>
      </c>
    </row>
    <row r="4" spans="1:26" s="11" customFormat="1">
      <c r="A4" s="29" t="s">
        <v>70</v>
      </c>
      <c r="B4" s="17">
        <v>25</v>
      </c>
      <c r="C4" s="18">
        <v>25</v>
      </c>
      <c r="D4" s="18">
        <v>27</v>
      </c>
      <c r="E4" s="18">
        <v>29</v>
      </c>
      <c r="F4" s="18">
        <v>31</v>
      </c>
      <c r="G4" s="18">
        <v>34</v>
      </c>
      <c r="H4" s="18">
        <v>33</v>
      </c>
      <c r="I4" s="18">
        <v>30</v>
      </c>
      <c r="J4" s="18">
        <v>35</v>
      </c>
      <c r="K4" s="18">
        <v>31</v>
      </c>
      <c r="L4" s="18">
        <v>31</v>
      </c>
      <c r="M4" s="18">
        <v>28</v>
      </c>
      <c r="N4" s="18">
        <v>29</v>
      </c>
      <c r="O4" s="18">
        <v>29</v>
      </c>
      <c r="P4" s="18">
        <v>29</v>
      </c>
      <c r="Q4" s="18">
        <v>29</v>
      </c>
      <c r="R4" s="18">
        <v>27</v>
      </c>
      <c r="S4" s="18">
        <v>28</v>
      </c>
      <c r="T4" s="18">
        <v>29</v>
      </c>
      <c r="U4" s="18">
        <v>27</v>
      </c>
      <c r="V4" s="18">
        <v>25</v>
      </c>
      <c r="W4" s="18">
        <v>26</v>
      </c>
      <c r="X4" s="18">
        <v>26</v>
      </c>
      <c r="Y4" s="18">
        <v>23</v>
      </c>
      <c r="Z4" s="19">
        <v>21</v>
      </c>
    </row>
    <row r="5" spans="1:26" s="11" customFormat="1">
      <c r="A5" s="24" t="s">
        <v>71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20">
        <v>0</v>
      </c>
      <c r="U5" s="20">
        <v>0</v>
      </c>
      <c r="V5" s="20">
        <v>0</v>
      </c>
      <c r="W5" s="20">
        <v>0</v>
      </c>
      <c r="X5" s="20">
        <v>0</v>
      </c>
      <c r="Y5" s="20">
        <v>0</v>
      </c>
      <c r="Z5" s="21">
        <v>0</v>
      </c>
    </row>
    <row r="6" spans="1:26" s="11" customFormat="1" ht="17.25">
      <c r="A6" s="30" t="s">
        <v>72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3"/>
    </row>
    <row r="7" spans="1:26" s="11" customFormat="1">
      <c r="A7" s="24" t="s">
        <v>61</v>
      </c>
      <c r="B7" s="10">
        <v>10</v>
      </c>
      <c r="C7" s="10">
        <v>12</v>
      </c>
      <c r="D7" s="10">
        <v>10</v>
      </c>
      <c r="E7" s="10">
        <v>17</v>
      </c>
      <c r="F7" s="10">
        <v>18</v>
      </c>
      <c r="G7" s="10">
        <v>20</v>
      </c>
      <c r="H7" s="10">
        <v>22</v>
      </c>
      <c r="I7" s="10">
        <v>22</v>
      </c>
      <c r="J7" s="10">
        <v>22</v>
      </c>
      <c r="K7" s="10">
        <v>23</v>
      </c>
      <c r="L7" s="10">
        <v>25</v>
      </c>
      <c r="M7" s="10">
        <v>28</v>
      </c>
      <c r="N7" s="10">
        <v>28</v>
      </c>
      <c r="O7" s="10">
        <v>28</v>
      </c>
      <c r="P7" s="10">
        <v>28</v>
      </c>
      <c r="Q7" s="10">
        <v>28</v>
      </c>
      <c r="R7" s="10">
        <v>28</v>
      </c>
      <c r="S7" s="10">
        <v>28</v>
      </c>
      <c r="T7" s="10">
        <v>28</v>
      </c>
      <c r="U7" s="10">
        <v>28</v>
      </c>
      <c r="V7" s="10">
        <v>28</v>
      </c>
      <c r="W7" s="10">
        <v>28</v>
      </c>
      <c r="X7" s="10">
        <v>28</v>
      </c>
      <c r="Y7" s="10">
        <v>28</v>
      </c>
      <c r="Z7" s="25">
        <v>28</v>
      </c>
    </row>
    <row r="8" spans="1:26" s="11" customFormat="1">
      <c r="A8" s="31" t="s">
        <v>62</v>
      </c>
      <c r="B8" s="26" t="s">
        <v>63</v>
      </c>
      <c r="C8" s="18">
        <v>7</v>
      </c>
      <c r="D8" s="18">
        <v>10</v>
      </c>
      <c r="E8" s="18">
        <v>10</v>
      </c>
      <c r="F8" s="18">
        <v>10</v>
      </c>
      <c r="G8" s="18">
        <v>10</v>
      </c>
      <c r="H8" s="18">
        <v>9</v>
      </c>
      <c r="I8" s="18">
        <v>9</v>
      </c>
      <c r="J8" s="18">
        <v>9</v>
      </c>
      <c r="K8" s="18">
        <v>9</v>
      </c>
      <c r="L8" s="18">
        <v>9</v>
      </c>
      <c r="M8" s="18">
        <v>7</v>
      </c>
      <c r="N8" s="18">
        <v>7</v>
      </c>
      <c r="O8" s="18">
        <v>7</v>
      </c>
      <c r="P8" s="18">
        <v>7</v>
      </c>
      <c r="Q8" s="18">
        <v>7</v>
      </c>
      <c r="R8" s="18">
        <v>7</v>
      </c>
      <c r="S8" s="18">
        <v>7</v>
      </c>
      <c r="T8" s="18">
        <v>7</v>
      </c>
      <c r="U8" s="18">
        <v>7</v>
      </c>
      <c r="V8" s="18">
        <v>7</v>
      </c>
      <c r="W8" s="18">
        <v>7</v>
      </c>
      <c r="X8" s="18">
        <v>7</v>
      </c>
      <c r="Y8" s="18">
        <v>7</v>
      </c>
      <c r="Z8" s="19">
        <v>8</v>
      </c>
    </row>
    <row r="9" spans="1:26" s="11" customFormat="1">
      <c r="A9" s="24" t="s">
        <v>73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22"/>
      <c r="U9" s="22"/>
      <c r="V9" s="22"/>
      <c r="W9" s="22"/>
      <c r="X9" s="22"/>
      <c r="Y9" s="22"/>
      <c r="Z9" s="23"/>
    </row>
    <row r="10" spans="1:26" s="11" customFormat="1">
      <c r="A10" s="24" t="s">
        <v>61</v>
      </c>
      <c r="B10" s="10">
        <v>1</v>
      </c>
      <c r="C10" s="10">
        <v>1</v>
      </c>
      <c r="D10" s="10">
        <v>1</v>
      </c>
      <c r="E10" s="10">
        <v>1</v>
      </c>
      <c r="F10" s="10">
        <v>1</v>
      </c>
      <c r="G10" s="10">
        <v>1</v>
      </c>
      <c r="H10" s="10">
        <v>1</v>
      </c>
      <c r="I10" s="10">
        <v>1</v>
      </c>
      <c r="J10" s="10">
        <v>1</v>
      </c>
      <c r="K10" s="10">
        <v>1</v>
      </c>
      <c r="L10" s="10">
        <v>1</v>
      </c>
      <c r="M10" s="10">
        <v>1</v>
      </c>
      <c r="N10" s="10">
        <v>1</v>
      </c>
      <c r="O10" s="10">
        <v>1</v>
      </c>
      <c r="P10" s="10">
        <v>2</v>
      </c>
      <c r="Q10" s="10">
        <v>2</v>
      </c>
      <c r="R10" s="10">
        <v>2</v>
      </c>
      <c r="S10" s="10">
        <v>2</v>
      </c>
      <c r="T10" s="10">
        <v>2</v>
      </c>
      <c r="U10" s="10">
        <v>2</v>
      </c>
      <c r="V10" s="10">
        <v>2</v>
      </c>
      <c r="W10" s="10">
        <v>2</v>
      </c>
      <c r="X10" s="10">
        <v>2</v>
      </c>
      <c r="Y10" s="10">
        <v>2</v>
      </c>
      <c r="Z10" s="25">
        <v>2</v>
      </c>
    </row>
    <row r="11" spans="1:26" s="11" customFormat="1">
      <c r="A11" s="24" t="s">
        <v>62</v>
      </c>
      <c r="B11" s="27" t="s">
        <v>63</v>
      </c>
      <c r="C11" s="10">
        <v>2</v>
      </c>
      <c r="D11" s="10">
        <v>2</v>
      </c>
      <c r="E11" s="10">
        <v>2</v>
      </c>
      <c r="F11" s="10">
        <v>2</v>
      </c>
      <c r="G11" s="10">
        <v>2</v>
      </c>
      <c r="H11" s="10">
        <v>2</v>
      </c>
      <c r="I11" s="10">
        <v>2</v>
      </c>
      <c r="J11" s="10">
        <v>2</v>
      </c>
      <c r="K11" s="10">
        <v>2</v>
      </c>
      <c r="L11" s="10">
        <v>4</v>
      </c>
      <c r="M11" s="10">
        <v>3</v>
      </c>
      <c r="N11" s="10">
        <v>3</v>
      </c>
      <c r="O11" s="10">
        <v>4</v>
      </c>
      <c r="P11" s="10">
        <v>3</v>
      </c>
      <c r="Q11" s="10">
        <v>3</v>
      </c>
      <c r="R11" s="10">
        <v>3</v>
      </c>
      <c r="S11" s="10">
        <v>3</v>
      </c>
      <c r="T11" s="18">
        <v>3</v>
      </c>
      <c r="U11" s="18">
        <v>3</v>
      </c>
      <c r="V11" s="18">
        <v>3</v>
      </c>
      <c r="W11" s="18">
        <v>3</v>
      </c>
      <c r="X11" s="18">
        <v>3</v>
      </c>
      <c r="Y11" s="18">
        <v>3</v>
      </c>
      <c r="Z11" s="19">
        <v>3</v>
      </c>
    </row>
    <row r="12" spans="1:26" s="11" customFormat="1">
      <c r="A12" s="28" t="s">
        <v>74</v>
      </c>
      <c r="B12" s="20">
        <f>SUM(B4:B11)</f>
        <v>36</v>
      </c>
      <c r="C12" s="20">
        <f t="shared" ref="C12:Z12" si="0">SUM(C4:C11)</f>
        <v>47</v>
      </c>
      <c r="D12" s="20">
        <f t="shared" si="0"/>
        <v>50</v>
      </c>
      <c r="E12" s="20">
        <f t="shared" si="0"/>
        <v>59</v>
      </c>
      <c r="F12" s="20">
        <f t="shared" si="0"/>
        <v>62</v>
      </c>
      <c r="G12" s="20">
        <f t="shared" si="0"/>
        <v>67</v>
      </c>
      <c r="H12" s="20">
        <f t="shared" si="0"/>
        <v>67</v>
      </c>
      <c r="I12" s="20">
        <f t="shared" si="0"/>
        <v>64</v>
      </c>
      <c r="J12" s="20">
        <f t="shared" si="0"/>
        <v>69</v>
      </c>
      <c r="K12" s="20">
        <f t="shared" si="0"/>
        <v>66</v>
      </c>
      <c r="L12" s="20">
        <f t="shared" si="0"/>
        <v>70</v>
      </c>
      <c r="M12" s="20">
        <f t="shared" si="0"/>
        <v>67</v>
      </c>
      <c r="N12" s="20">
        <f t="shared" si="0"/>
        <v>68</v>
      </c>
      <c r="O12" s="20">
        <f t="shared" si="0"/>
        <v>69</v>
      </c>
      <c r="P12" s="20">
        <f t="shared" si="0"/>
        <v>69</v>
      </c>
      <c r="Q12" s="20">
        <f t="shared" si="0"/>
        <v>69</v>
      </c>
      <c r="R12" s="20">
        <f t="shared" si="0"/>
        <v>67</v>
      </c>
      <c r="S12" s="20">
        <f t="shared" si="0"/>
        <v>68</v>
      </c>
      <c r="T12" s="20">
        <f t="shared" si="0"/>
        <v>69</v>
      </c>
      <c r="U12" s="20">
        <f t="shared" si="0"/>
        <v>67</v>
      </c>
      <c r="V12" s="20">
        <f t="shared" si="0"/>
        <v>65</v>
      </c>
      <c r="W12" s="20">
        <f t="shared" si="0"/>
        <v>66</v>
      </c>
      <c r="X12" s="20">
        <f t="shared" si="0"/>
        <v>66</v>
      </c>
      <c r="Y12" s="20">
        <f t="shared" si="0"/>
        <v>63</v>
      </c>
      <c r="Z12" s="21">
        <f t="shared" si="0"/>
        <v>62</v>
      </c>
    </row>
    <row r="13" spans="1:26" s="11" customForma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</row>
    <row r="14" spans="1:26" s="11" customForma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</row>
    <row r="15" spans="1:26" s="11" customForma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</row>
    <row r="16" spans="1:26" s="11" customFormat="1"/>
  </sheetData>
  <phoneticPr fontId="9" type="noConversion"/>
  <pageMargins left="0.70000000000000007" right="0.70000000000000007" top="0.75" bottom="0.75" header="0.30000000000000004" footer="0.30000000000000004"/>
  <pageSetup paperSize="9" fitToWidth="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7151fac-9fcf-474c-8c03-e664bba15fa0">
      <Terms xmlns="http://schemas.microsoft.com/office/infopath/2007/PartnerControls"/>
    </lcf76f155ced4ddcb4097134ff3c332f>
    <TaxCatchAll xmlns="cdd8502d-ddda-47d3-bc10-7dfd02b2ac5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F386AFD53ED0458ABABB8168DEAD56" ma:contentTypeVersion="12" ma:contentTypeDescription="Create a new document." ma:contentTypeScope="" ma:versionID="f3c8ed77313e0833578fab5e8cd208bf">
  <xsd:schema xmlns:xsd="http://www.w3.org/2001/XMLSchema" xmlns:xs="http://www.w3.org/2001/XMLSchema" xmlns:p="http://schemas.microsoft.com/office/2006/metadata/properties" xmlns:ns2="cdd8502d-ddda-47d3-bc10-7dfd02b2ac59" xmlns:ns3="e7151fac-9fcf-474c-8c03-e664bba15fa0" targetNamespace="http://schemas.microsoft.com/office/2006/metadata/properties" ma:root="true" ma:fieldsID="2fd9090e8a8fce704161089cced97d96" ns2:_="" ns3:_="">
    <xsd:import namespace="cdd8502d-ddda-47d3-bc10-7dfd02b2ac59"/>
    <xsd:import namespace="e7151fac-9fcf-474c-8c03-e664bba15fa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d8502d-ddda-47d3-bc10-7dfd02b2ac5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9e5c54e-659f-4636-b7a1-59973806913c}" ma:internalName="TaxCatchAll" ma:showField="CatchAllData" ma:web="cdd8502d-ddda-47d3-bc10-7dfd02b2ac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151fac-9fcf-474c-8c03-e664bba15f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f15b542-c3bb-4fe8-b389-dcfcef2f2a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781188-2FF3-45B7-8F74-5B78D2A689BB}"/>
</file>

<file path=customXml/itemProps2.xml><?xml version="1.0" encoding="utf-8"?>
<ds:datastoreItem xmlns:ds="http://schemas.openxmlformats.org/officeDocument/2006/customXml" ds:itemID="{32F868C8-A957-4EF7-B00F-75A539BB0DD9}"/>
</file>

<file path=customXml/itemProps3.xml><?xml version="1.0" encoding="utf-8"?>
<ds:datastoreItem xmlns:ds="http://schemas.openxmlformats.org/officeDocument/2006/customXml" ds:itemID="{3D79647A-D885-49B9-BAEC-7E73D92978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Ivor Graham</dc:creator>
  <cp:keywords/>
  <dc:description/>
  <cp:lastModifiedBy/>
  <cp:revision/>
  <dcterms:created xsi:type="dcterms:W3CDTF">2013-02-19T16:15:15Z</dcterms:created>
  <dcterms:modified xsi:type="dcterms:W3CDTF">2026-03-11T13:34:25Z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0x01010059F386AFD53ED0458ABABB8168DEAD56</vt:lpwstr>
  </property>
  <property fmtid="{D5CDD505-2E9C-101B-9397-08002B2CF9AE}" pid="3" name="MediaServiceImageTags">
    <vt:lpwstr/>
  </property>
</Properties>
</file>
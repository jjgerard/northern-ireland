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https://nicsonline-my.sharepoint.com/personal/conor_mclean_education-ni_gov_uk/Documents/Web Tables/"/>
    </mc:Choice>
  </mc:AlternateContent>
  <xr:revisionPtr revIDLastSave="0" documentId="8_{6FC41DCD-40AE-4627-B669-C3EC0D626A52}" xr6:coauthVersionLast="47" xr6:coauthVersionMax="47" xr10:uidLastSave="{00000000-0000-0000-0000-000000000000}"/>
  <bookViews>
    <workbookView xWindow="-28920" yWindow="-120" windowWidth="29040" windowHeight="15720" xr2:uid="{00000000-000D-0000-FFFF-FFFF00000000}"/>
  </bookViews>
  <sheets>
    <sheet name="metadata" sheetId="1" r:id="rId1"/>
    <sheet name="2025_26" sheetId="27" r:id="rId2"/>
    <sheet name="2024_25" sheetId="26" r:id="rId3"/>
    <sheet name="2022_23" sheetId="25" r:id="rId4"/>
    <sheet name="2021_22" sheetId="24" r:id="rId5"/>
    <sheet name="2020_21" sheetId="23" r:id="rId6"/>
    <sheet name="2019_20" sheetId="22" r:id="rId7"/>
    <sheet name="2018_19" sheetId="21" r:id="rId8"/>
    <sheet name="2017_18" sheetId="20" r:id="rId9"/>
    <sheet name="2016_17" sheetId="3" r:id="rId10"/>
    <sheet name="2015_16" sheetId="4" r:id="rId11"/>
    <sheet name="2014_15" sheetId="5" r:id="rId12"/>
    <sheet name="2013_14" sheetId="6" r:id="rId13"/>
    <sheet name="2012_13" sheetId="7" r:id="rId14"/>
    <sheet name="2011_12" sheetId="8" r:id="rId15"/>
    <sheet name="2010_11" sheetId="9" r:id="rId16"/>
    <sheet name="2009_10" sheetId="10" r:id="rId17"/>
    <sheet name="2008_09" sheetId="11" r:id="rId18"/>
    <sheet name="2007_08" sheetId="12" r:id="rId19"/>
    <sheet name="2006_07" sheetId="13" r:id="rId20"/>
    <sheet name="2005_06" sheetId="14" r:id="rId21"/>
    <sheet name="2004_05" sheetId="15" r:id="rId22"/>
    <sheet name="2003_04" sheetId="16" r:id="rId23"/>
    <sheet name="2002_03" sheetId="17" r:id="rId24"/>
    <sheet name="2001_02" sheetId="18" r:id="rId25"/>
    <sheet name="2000_01" sheetId="19" r:id="rId26"/>
  </sheets>
  <externalReferences>
    <externalReference r:id="rId27"/>
  </externalReferences>
  <definedNames>
    <definedName name="_xlnm.Print_Area" localSheetId="11">'2014_15'!$A$1:$I$43</definedName>
    <definedName name="_xlnm.Print_Area" localSheetId="10">'2015_16'!$A$1:$H$45</definedName>
    <definedName name="_xlnm.Print_Area" localSheetId="9">'2016_17'!$A$1:$H$45</definedName>
    <definedName name="_xlnm.Print_Area" localSheetId="8">'2017_18'!$A$1:$H$46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26" l="1"/>
  <c r="D54" i="26"/>
  <c r="E55" i="26"/>
  <c r="E54" i="26"/>
  <c r="E24" i="26"/>
  <c r="C55" i="26" l="1"/>
  <c r="C54" i="26"/>
  <c r="B54" i="26"/>
  <c r="B55" i="26" s="1"/>
  <c r="E23" i="26"/>
  <c r="E22" i="26"/>
  <c r="E21" i="26"/>
  <c r="E16" i="26"/>
  <c r="E17" i="26"/>
  <c r="E18" i="26"/>
  <c r="E19" i="26"/>
  <c r="E20" i="26"/>
  <c r="E15" i="26"/>
  <c r="E8" i="26"/>
  <c r="E7" i="26"/>
  <c r="E6" i="26"/>
  <c r="E13" i="26"/>
  <c r="E12" i="26"/>
  <c r="E11" i="26"/>
  <c r="E10" i="26"/>
  <c r="E31" i="26"/>
  <c r="E30" i="26"/>
  <c r="E29" i="26"/>
  <c r="E28" i="26"/>
  <c r="E27" i="26"/>
  <c r="E26" i="26"/>
  <c r="H15" i="5"/>
  <c r="G15" i="5"/>
  <c r="F15" i="5"/>
  <c r="E15" i="5"/>
  <c r="D15" i="5"/>
  <c r="H14" i="5"/>
  <c r="G14" i="5"/>
  <c r="F14" i="5"/>
  <c r="E14" i="5"/>
  <c r="D14" i="5"/>
  <c r="H13" i="5"/>
  <c r="G13" i="5"/>
  <c r="F13" i="5"/>
  <c r="E13" i="5"/>
  <c r="D13" i="5"/>
  <c r="H12" i="5"/>
  <c r="G12" i="5"/>
  <c r="F12" i="5"/>
  <c r="E12" i="5"/>
  <c r="D12" i="5"/>
  <c r="I12" i="5" s="1"/>
  <c r="H10" i="5"/>
  <c r="G10" i="5"/>
  <c r="F10" i="5"/>
  <c r="E10" i="5"/>
  <c r="D10" i="5"/>
  <c r="H8" i="5"/>
  <c r="G8" i="5"/>
  <c r="H7" i="5"/>
  <c r="H9" i="5" s="1"/>
  <c r="H40" i="5" s="1"/>
  <c r="G7" i="5"/>
  <c r="E35" i="16"/>
  <c r="D35" i="16"/>
  <c r="H32" i="16"/>
  <c r="G32" i="16"/>
  <c r="F32" i="16"/>
  <c r="E32" i="16"/>
  <c r="D32" i="16"/>
  <c r="I31" i="16"/>
  <c r="I30" i="16"/>
  <c r="I29" i="16"/>
  <c r="H28" i="16"/>
  <c r="G28" i="16"/>
  <c r="F28" i="16"/>
  <c r="E28" i="16"/>
  <c r="D28" i="16"/>
  <c r="I27" i="16"/>
  <c r="I26" i="16"/>
  <c r="I25" i="16"/>
  <c r="I24" i="16"/>
  <c r="E23" i="16"/>
  <c r="D23" i="16"/>
  <c r="H19" i="16"/>
  <c r="G19" i="16"/>
  <c r="F19" i="16"/>
  <c r="E19" i="16"/>
  <c r="D19" i="16"/>
  <c r="I18" i="16"/>
  <c r="I17" i="16"/>
  <c r="I16" i="16"/>
  <c r="I15" i="16"/>
  <c r="H9" i="16"/>
  <c r="G9" i="16"/>
  <c r="F9" i="16"/>
  <c r="E9" i="16"/>
  <c r="D9" i="16"/>
  <c r="I8" i="16"/>
  <c r="I7" i="16"/>
  <c r="I9" i="16" s="1"/>
  <c r="I12" i="13"/>
  <c r="H9" i="13"/>
  <c r="G9" i="13"/>
  <c r="F9" i="13"/>
  <c r="E9" i="13"/>
  <c r="D9" i="13"/>
  <c r="I8" i="13"/>
  <c r="I7" i="13"/>
  <c r="H9" i="6"/>
  <c r="G9" i="6"/>
  <c r="F9" i="6"/>
  <c r="E9" i="6"/>
  <c r="D9" i="6"/>
  <c r="I8" i="6"/>
  <c r="I7" i="6"/>
  <c r="F40" i="5"/>
  <c r="E40" i="5"/>
  <c r="D40" i="5"/>
  <c r="I24" i="5"/>
  <c r="I23" i="5"/>
  <c r="I21" i="5"/>
  <c r="I20" i="5"/>
  <c r="I19" i="5"/>
  <c r="I18" i="5"/>
  <c r="I17" i="5"/>
  <c r="I14" i="5"/>
  <c r="I8" i="5"/>
  <c r="H42" i="4"/>
  <c r="G42" i="4"/>
  <c r="F42" i="4"/>
  <c r="E42" i="4"/>
  <c r="D42" i="4"/>
  <c r="C42" i="4"/>
  <c r="B54" i="27" l="1"/>
  <c r="B55" i="27" s="1"/>
  <c r="D54" i="27"/>
  <c r="D55" i="27" s="1"/>
  <c r="C54" i="27"/>
  <c r="C55" i="27" s="1"/>
  <c r="E54" i="27"/>
  <c r="E55" i="27" s="1"/>
  <c r="I7" i="5"/>
  <c r="I9" i="5" s="1"/>
  <c r="I40" i="5" s="1"/>
  <c r="I32" i="16"/>
  <c r="I9" i="13"/>
  <c r="I10" i="5"/>
  <c r="I15" i="5"/>
  <c r="G9" i="5"/>
  <c r="G40" i="5" s="1"/>
  <c r="I28" i="16"/>
  <c r="I9" i="6"/>
  <c r="D36" i="16"/>
  <c r="I13" i="5"/>
  <c r="H36" i="16"/>
  <c r="G36" i="16"/>
  <c r="F36" i="16"/>
  <c r="E36" i="16"/>
  <c r="I19" i="16"/>
  <c r="I36" i="16" s="1"/>
</calcChain>
</file>

<file path=xl/sharedStrings.xml><?xml version="1.0" encoding="utf-8"?>
<sst xmlns="http://schemas.openxmlformats.org/spreadsheetml/2006/main" count="1897" uniqueCount="163">
  <si>
    <t>Data are collected annually through the School census exercise.</t>
  </si>
  <si>
    <t xml:space="preserve">This takes place in early October when each school is required to submit a return </t>
  </si>
  <si>
    <t>detailing information about the numbers of pupils on their register.</t>
  </si>
  <si>
    <t>Action Short of Strike (ASoS)</t>
  </si>
  <si>
    <t xml:space="preserve">Data in the 2023/24 tab was impacted by industrial action, due to ongoing Action Short of Strike (ASOS). </t>
  </si>
  <si>
    <t xml:space="preserve">Although data was received from all schools, for 25% of schools (primary, post primary and special schools) pupil level information was not received in electronic format. </t>
  </si>
  <si>
    <t xml:space="preserve">For those schools refusing to submit electronically, a paper return was received. The result of this is that the Department was either been unable to obtain all the information usually </t>
  </si>
  <si>
    <t>received via electronic census returns, for example religion and sex, and it was not possible to fully undertake normal validation processes. Some validations were</t>
  </si>
  <si>
    <t>impossible due to a lack of pupil level information. Further information can be found in the notes section of the enrolments bulletin (https://www.education-ni.gov.uk/publications/annual-enrolments-schools-and-funded-pre-school-education-northern-ireland-202324)</t>
  </si>
  <si>
    <t>In this case, we do not have full coverage of religion data for the 2023/24 census and therefore are unable to present it.</t>
  </si>
  <si>
    <t>Specialist Provision</t>
  </si>
  <si>
    <t>Specialist Provisions (previously known as ‘Learning Support Centres’) refers to classes/units in mainstream primary and post primary schools that have been approved by the Education Authority</t>
  </si>
  <si>
    <t xml:space="preserve">for the purpose of making educational provisions for pupils with statements of special educational needs. </t>
  </si>
  <si>
    <t>Figures for primary (Y1-Y7) and post primary schools include children in mainstream classes and in specialist provision in mainstream.  Preschool aged pupils enrolled in Specialist Provision in Mainstream have been presented separately from other preschool aged pupils, they are not part of Pre-school Education  Programme (PSEP)</t>
  </si>
  <si>
    <t>PSEP overview - Pre-school education places (https://www.nidirect.gov.uk/articles/pre-school-education-places)</t>
  </si>
  <si>
    <t>For further information, see 'notes for readers' points 4 and 10 in the enrolments bulletin - https://datavis.nisra.gov.uk/DEstatistics/annual-enrolments-schools-and-funded-pre-school-education-northern-ireland-202526.html.</t>
  </si>
  <si>
    <t>Schools fall under various management types:</t>
  </si>
  <si>
    <t xml:space="preserve">Controlled schools are managed by the Education Authority through Boards of Governors. </t>
  </si>
  <si>
    <t xml:space="preserve">Primary and secondary school Boards of Governors consist of representatives of transferors (mainly the Protestant Churches) along with representatives of parents, </t>
  </si>
  <si>
    <t>teachers and the Education Authority. Nursery, grammar and special school Boards of Governors consist of representatives of the latter 3 categories.</t>
  </si>
  <si>
    <t>Within the controlled sector there is a small but growing number of controlled integrated schools.</t>
  </si>
  <si>
    <r>
      <t>Voluntary (maintained)</t>
    </r>
    <r>
      <rPr>
        <sz val="10"/>
        <color rgb="FF000000"/>
        <rFont val="Arial"/>
        <family val="2"/>
      </rPr>
      <t xml:space="preserve"> schools are managed by Boards of Governors which consist of members nominated by trustees (mainly Roman Catholic), </t>
    </r>
  </si>
  <si>
    <t>along with representatives of parents, teachers and the Education Authority.</t>
  </si>
  <si>
    <t xml:space="preserve">Voluntary schools vary in the rates of capital grant to which they are entitled, depending on the management structures they have adopted. </t>
  </si>
  <si>
    <t>A majority are entitled to capital grants at 100%.</t>
  </si>
  <si>
    <r>
      <t>Voluntary: (Non-Maintained)</t>
    </r>
    <r>
      <rPr>
        <sz val="10"/>
        <color rgb="FF000000"/>
        <rFont val="Arial"/>
        <family val="2"/>
      </rPr>
      <t xml:space="preserve"> schools are mainly voluntary grammar schools, managed by Boards of Governors </t>
    </r>
  </si>
  <si>
    <t xml:space="preserve">which consist of persons appointed as provided in each school's scheme of management along with representatives of parents and teachers and, in most cases, </t>
  </si>
  <si>
    <t>members appointed by the Department or the Education Authority. Voluntary Grammar Schools are funded directly by the Department.</t>
  </si>
  <si>
    <r>
      <t xml:space="preserve">In recent years a number of </t>
    </r>
    <r>
      <rPr>
        <b/>
        <sz val="10"/>
        <color rgb="FF000000"/>
        <rFont val="Arial"/>
        <family val="2"/>
      </rPr>
      <t>grant-maintained integrated</t>
    </r>
    <r>
      <rPr>
        <sz val="10"/>
        <color rgb="FF000000"/>
        <rFont val="Arial"/>
        <family val="2"/>
      </rPr>
      <t xml:space="preserve"> schools have been established at primary level and post-primary levels. </t>
    </r>
  </si>
  <si>
    <t>Such schools are funded directly by the Department.</t>
  </si>
  <si>
    <t xml:space="preserve">The practical operation of all schools has increasingly become a matter for Boards of Governors. They are responsible </t>
  </si>
  <si>
    <t xml:space="preserve">for the delivery of the curriculum, admission of pupils, and in the case of schools with delegated budgets, for the management of their own financial affairs, </t>
  </si>
  <si>
    <t xml:space="preserve">including staffing matters. </t>
  </si>
  <si>
    <r>
      <t xml:space="preserve">Independent </t>
    </r>
    <r>
      <rPr>
        <sz val="10"/>
        <color rgb="FF000000"/>
        <rFont val="Arial"/>
        <family val="2"/>
      </rPr>
      <t>schools do not receive recurrent funding from the Dept Education.</t>
    </r>
  </si>
  <si>
    <r>
      <t xml:space="preserve">Protestant' </t>
    </r>
    <r>
      <rPr>
        <sz val="10"/>
        <color rgb="FF000000"/>
        <rFont val="Arial"/>
        <family val="2"/>
      </rPr>
      <t xml:space="preserve">includes pupils from the following denominations: Baptist, Brethren, Congregational Church, Church of England, </t>
    </r>
  </si>
  <si>
    <t xml:space="preserve">Church of God, Church of Ireland, Church of Scotland, Elim, Free methodist, Free Presbyterian, Independent Methodist, Methodist, Moravian, Pentecostal, </t>
  </si>
  <si>
    <t>Presbyterian, Quaker, Salvation army, Seventh day Adventist and Other Protestant.</t>
  </si>
  <si>
    <r>
      <t>Catholic'</t>
    </r>
    <r>
      <rPr>
        <sz val="10"/>
        <color rgb="FF000000"/>
        <rFont val="Arial"/>
        <family val="2"/>
      </rPr>
      <t xml:space="preserve"> pupils are those where it is indicated that their denomination is Roman Catholic.</t>
    </r>
  </si>
  <si>
    <r>
      <t>Other Christian'</t>
    </r>
    <r>
      <rPr>
        <sz val="10"/>
        <color rgb="FF000000"/>
        <rFont val="Arial"/>
        <family val="2"/>
      </rPr>
      <t xml:space="preserve"> category includes pupils form the following denominations: Jehovah's Witness, Church of Jesus Christ of Latter Day saints or Other Christian.</t>
    </r>
  </si>
  <si>
    <r>
      <t xml:space="preserve">Non Christian' </t>
    </r>
    <r>
      <rPr>
        <sz val="10"/>
        <color rgb="FF000000"/>
        <rFont val="Arial"/>
        <family val="2"/>
      </rPr>
      <t>category includes pupils where it is indicated that the religion is: Bahai, Buddhist, Hindu, Jewish, Muslim or Sikh.</t>
    </r>
  </si>
  <si>
    <r>
      <t xml:space="preserve">Other/no religion/not known' </t>
    </r>
    <r>
      <rPr>
        <sz val="10"/>
        <color rgb="FF000000"/>
        <rFont val="Arial"/>
        <family val="2"/>
      </rPr>
      <t>includes pupils where religion was one not classified elsewhere, no religion had been recorded, or religion was recorded as unknown.</t>
    </r>
  </si>
  <si>
    <t>Figures for primary and post primary schools include children in mainstream classes and in special units.</t>
  </si>
  <si>
    <t>Enquiries relating to information collected in the school census in Northern Ireland</t>
  </si>
  <si>
    <t>should be addressed to:</t>
  </si>
  <si>
    <t>Statistical Analysis Team</t>
  </si>
  <si>
    <t>Department of Education,</t>
  </si>
  <si>
    <t xml:space="preserve">Rathgael House, </t>
  </si>
  <si>
    <t xml:space="preserve">Balloo Road, </t>
  </si>
  <si>
    <t>Rathgill,</t>
  </si>
  <si>
    <t>Bangor,</t>
  </si>
  <si>
    <t>Co. Down</t>
  </si>
  <si>
    <t>BT19 7PR.</t>
  </si>
  <si>
    <t xml:space="preserve">email: </t>
  </si>
  <si>
    <t>census@education-ni.gov.uk</t>
  </si>
  <si>
    <t>This file was last updated on 10 March 2026.</t>
  </si>
  <si>
    <t>Religion of pupils by school type and management type, 2025/26</t>
  </si>
  <si>
    <t>Nursery, Primary, Post Primary and Special Schools</t>
  </si>
  <si>
    <t>School and management type</t>
  </si>
  <si>
    <t>Protestant</t>
  </si>
  <si>
    <t>Catholic</t>
  </si>
  <si>
    <t>Other Christian/Non Christian/ No religion/Not recorded</t>
  </si>
  <si>
    <t>Total</t>
  </si>
  <si>
    <t>Voluntary and Private Pre-School Centres (funded children only)</t>
  </si>
  <si>
    <t xml:space="preserve">Voluntary </t>
  </si>
  <si>
    <t>Private</t>
  </si>
  <si>
    <t>TOTAL</t>
  </si>
  <si>
    <t xml:space="preserve">Nursery Schools </t>
  </si>
  <si>
    <t>Controlled</t>
  </si>
  <si>
    <t>Catholic Maintained</t>
  </si>
  <si>
    <t>Controlled Integrated</t>
  </si>
  <si>
    <t>Nursery Classes</t>
  </si>
  <si>
    <t>Other Maintained</t>
  </si>
  <si>
    <t>Grant Maintained Integrated</t>
  </si>
  <si>
    <t>Pre-school Specialist Provision in a nursery school</t>
  </si>
  <si>
    <t>Pre-school Specialist Provision in a primary school</t>
  </si>
  <si>
    <t>Reception class in a primary school</t>
  </si>
  <si>
    <t>Pre-school age - Total</t>
  </si>
  <si>
    <t>Primary Schools (Year 1 - Year 7)</t>
  </si>
  <si>
    <t>Prep. Departments (Year 1 - Year 7)</t>
  </si>
  <si>
    <t>#</t>
  </si>
  <si>
    <t>*</t>
  </si>
  <si>
    <t>Voluntary</t>
  </si>
  <si>
    <t>Secondary( Non Grammar) Schools</t>
  </si>
  <si>
    <t xml:space="preserve">Grammar Schools (Year 8 - Year 14) </t>
  </si>
  <si>
    <t>Voluntary - Schools under Catholic Management</t>
  </si>
  <si>
    <t>Voluntary - Schools under Other Management</t>
  </si>
  <si>
    <t>Special Schools</t>
  </si>
  <si>
    <t>EOTAS Centres</t>
  </si>
  <si>
    <t>ALL FUNDED PRE-SCHOOL, NURSERY, PRIMARY, POST-PRIMARY AND SPECIAL SCHOOLS</t>
  </si>
  <si>
    <t>ALL FUNDED PRE-SCHOOL, NURSERY, PRIMARY, POST-PRIMARY, SPECIAL SCHOOLS AND EOTAS CENTRES</t>
  </si>
  <si>
    <t>* Fewer than 5 cases.</t>
  </si>
  <si>
    <r>
      <t xml:space="preserve"># </t>
    </r>
    <r>
      <rPr>
        <sz val="10"/>
        <rFont val="Arial"/>
        <family val="2"/>
      </rPr>
      <t>Number suppressed.</t>
    </r>
  </si>
  <si>
    <r>
      <rPr>
        <vertAlign val="superscript"/>
        <sz val="10"/>
        <rFont val="Arial"/>
        <family val="2"/>
      </rPr>
      <t xml:space="preserve">1. </t>
    </r>
    <r>
      <rPr>
        <sz val="10"/>
        <rFont val="Arial"/>
        <family val="2"/>
      </rPr>
      <t xml:space="preserve">Enrolments for special schools and EOTAS centres relate those where pupils are single registered to the school, or are dual registered and the special school/EOTAS centre is recorded as the main school.  </t>
    </r>
  </si>
  <si>
    <t>Religion of pupils by school type and management type, 2024/25</t>
  </si>
  <si>
    <t xml:space="preserve">      #</t>
  </si>
  <si>
    <t xml:space="preserve">  1,312</t>
  </si>
  <si>
    <t xml:space="preserve">     #</t>
  </si>
  <si>
    <t>Religion of pupils by school type and management type, 2022/23</t>
  </si>
  <si>
    <t>Nursery Classes &amp; Reception</t>
  </si>
  <si>
    <t>Religion of pupils by school type and management type, 2021/22</t>
  </si>
  <si>
    <t>Religion of pupils by school type and management type, 2020/21</t>
  </si>
  <si>
    <t>Other Christian/ Non Christian/ No religion/ Not recorded</t>
  </si>
  <si>
    <t>Religion of pupils by school type and management type, 2019/20</t>
  </si>
  <si>
    <t>Nursery Classes &amp;</t>
  </si>
  <si>
    <t>Reception</t>
  </si>
  <si>
    <t xml:space="preserve">Primary Schools </t>
  </si>
  <si>
    <t>(Year 1 - Year 7)</t>
  </si>
  <si>
    <t>Prep. Departments</t>
  </si>
  <si>
    <t>Secondary</t>
  </si>
  <si>
    <t xml:space="preserve">( Non Grammar) </t>
  </si>
  <si>
    <t>Schools</t>
  </si>
  <si>
    <t>Grammar Schools</t>
  </si>
  <si>
    <t xml:space="preserve">(Year 8 - Year 14) </t>
  </si>
  <si>
    <t>Religion of pupils by school type and management type, 2018/19</t>
  </si>
  <si>
    <t>Other Christian/ Non Christian/  No religion/ Not recorded</t>
  </si>
  <si>
    <t>Religion of pupils by school type and management type, 2017/18</t>
  </si>
  <si>
    <t>Other Christian</t>
  </si>
  <si>
    <t>Non Christian</t>
  </si>
  <si>
    <t>No Religion / Not recorded</t>
  </si>
  <si>
    <t>Religion of pupils by school type and management type, 2016/17</t>
  </si>
  <si>
    <r>
      <t xml:space="preserve"># </t>
    </r>
    <r>
      <rPr>
        <sz val="10"/>
        <color rgb="FF000000"/>
        <rFont val="Arial"/>
        <family val="2"/>
      </rPr>
      <t>Number suppressed.</t>
    </r>
  </si>
  <si>
    <t>Religion of pupils by school type and management type, 2015/16</t>
  </si>
  <si>
    <t>ALL NURSERY, PRIMARY, POST-PRIMARY AND SPECIAL SCHOOLS</t>
  </si>
  <si>
    <t>Religion of pupils by school type and management type, 2014/15</t>
  </si>
  <si>
    <t>Schools under Catholic Management</t>
  </si>
  <si>
    <t>Schools under Other Management</t>
  </si>
  <si>
    <t>Religion of pupils by school type and management type, 2013/14</t>
  </si>
  <si>
    <t>No Religion/ not recorded</t>
  </si>
  <si>
    <r>
      <t>Voluntary</t>
    </r>
    <r>
      <rPr>
        <b/>
        <vertAlign val="superscript"/>
        <sz val="10"/>
        <color rgb="FF000000"/>
        <rFont val="Arial"/>
        <family val="2"/>
      </rPr>
      <t>1</t>
    </r>
  </si>
  <si>
    <t>Catholic Maintained/</t>
  </si>
  <si>
    <r>
      <t>1</t>
    </r>
    <r>
      <rPr>
        <sz val="10"/>
        <color rgb="FF000000"/>
        <rFont val="Arial"/>
        <family val="2"/>
      </rPr>
      <t xml:space="preserve"> Not under Catholic management. </t>
    </r>
  </si>
  <si>
    <t>Religion of pupils by school type and management type, 2012/13</t>
  </si>
  <si>
    <t>Religion of pupils by school type and management type, 2011/12</t>
  </si>
  <si>
    <t>Roman Catholic</t>
  </si>
  <si>
    <r>
      <t>Controlled/Voluntary</t>
    </r>
    <r>
      <rPr>
        <b/>
        <vertAlign val="superscript"/>
        <sz val="10"/>
        <color rgb="FF000000"/>
        <rFont val="Arial"/>
        <family val="2"/>
      </rPr>
      <t>1, 2</t>
    </r>
  </si>
  <si>
    <r>
      <t>Grant Maintained Integrated</t>
    </r>
    <r>
      <rPr>
        <b/>
        <vertAlign val="superscript"/>
        <sz val="10"/>
        <color rgb="FF000000"/>
        <rFont val="Arial"/>
        <family val="2"/>
      </rPr>
      <t>2</t>
    </r>
  </si>
  <si>
    <r>
      <t>*</t>
    </r>
    <r>
      <rPr>
        <vertAlign val="superscript"/>
        <sz val="10"/>
        <color rgb="FF000000"/>
        <rFont val="Arial"/>
        <family val="2"/>
      </rPr>
      <t xml:space="preserve"> </t>
    </r>
    <r>
      <rPr>
        <sz val="10"/>
        <color rgb="FF000000"/>
        <rFont val="Arial"/>
        <family val="2"/>
      </rPr>
      <t>Relates to fewer than 5 cases.</t>
    </r>
  </si>
  <si>
    <r>
      <t>#</t>
    </r>
    <r>
      <rPr>
        <sz val="10"/>
        <color rgb="FF000000"/>
        <rFont val="Arial"/>
        <family val="2"/>
      </rPr>
      <t xml:space="preserve"> Number suppressed to prevent disclosure of small number elsewhere.</t>
    </r>
  </si>
  <si>
    <r>
      <rPr>
        <vertAlign val="superscript"/>
        <sz val="10"/>
        <color rgb="FF000000"/>
        <rFont val="Arial"/>
        <family val="2"/>
      </rPr>
      <t>2</t>
    </r>
    <r>
      <rPr>
        <sz val="10"/>
        <color rgb="FF000000"/>
        <rFont val="Arial"/>
        <family val="2"/>
      </rPr>
      <t xml:space="preserve"> Revised figures.</t>
    </r>
  </si>
  <si>
    <t>Religion of pupils by school type and management type, 2010/11</t>
  </si>
  <si>
    <t>2. Revised figures.</t>
  </si>
  <si>
    <t>Religion of pupils by school type and management type, 2009/10</t>
  </si>
  <si>
    <r>
      <t>Controlled/Voluntary</t>
    </r>
    <r>
      <rPr>
        <b/>
        <vertAlign val="superscript"/>
        <sz val="10"/>
        <color rgb="FF000000"/>
        <rFont val="Arial"/>
        <family val="2"/>
      </rPr>
      <t>1,2</t>
    </r>
  </si>
  <si>
    <r>
      <rPr>
        <vertAlign val="superscript"/>
        <sz val="10"/>
        <color rgb="FF000000"/>
        <rFont val="Arial"/>
        <family val="2"/>
      </rPr>
      <t xml:space="preserve">2 </t>
    </r>
    <r>
      <rPr>
        <sz val="10"/>
        <color rgb="FF000000"/>
        <rFont val="Arial"/>
        <family val="2"/>
      </rPr>
      <t>Revised figures.</t>
    </r>
  </si>
  <si>
    <t>Religion of pupils by school type and management type, 2008/09</t>
  </si>
  <si>
    <t># Number suppressed.</t>
  </si>
  <si>
    <t>Religion of pupils by school type and management type, 2007/08</t>
  </si>
  <si>
    <r>
      <t xml:space="preserve"># </t>
    </r>
    <r>
      <rPr>
        <sz val="10"/>
        <color rgb="FF000000"/>
        <rFont val="Arial"/>
        <family val="2"/>
      </rPr>
      <t>Number treated under rules of disclosure.</t>
    </r>
  </si>
  <si>
    <t>Religion of pupils by school type and management type, 2006/07</t>
  </si>
  <si>
    <t>Religion of pupils by school type and management type, 2005/06</t>
  </si>
  <si>
    <r>
      <t>2</t>
    </r>
    <r>
      <rPr>
        <sz val="10"/>
        <color rgb="FF000000"/>
        <rFont val="Arial"/>
        <family val="2"/>
      </rPr>
      <t xml:space="preserve"> Revised figures.</t>
    </r>
  </si>
  <si>
    <t>Religion of pupils by school type and management type, 2004/05:</t>
  </si>
  <si>
    <t xml:space="preserve"> </t>
  </si>
  <si>
    <t>Religion of pupils by school type and management type, 2003/04:</t>
  </si>
  <si>
    <t>Catholic Maintained/Other Maintained</t>
  </si>
  <si>
    <t>Religion of pupils by school type and management type, 2002/03:</t>
  </si>
  <si>
    <t>Nursery, Primary and Post Primary Schools</t>
  </si>
  <si>
    <t>-</t>
  </si>
  <si>
    <t>ALL NURSERY, PRIMARY AND POST-PRIMARY SCHOOLS</t>
  </si>
  <si>
    <t>Religion of pupils by school type and management type, 2001/02, Nursery, Primary and Post-Primary Schools</t>
  </si>
  <si>
    <t>* Fewer than 5 cases</t>
  </si>
  <si>
    <r>
      <t xml:space="preserve"># </t>
    </r>
    <r>
      <rPr>
        <sz val="10"/>
        <color rgb="FF000000"/>
        <rFont val="Arial"/>
        <family val="2"/>
      </rPr>
      <t>Number suppressed</t>
    </r>
  </si>
  <si>
    <t>Religion of pupils by school type and management type, 2000/01, Nursery, Primary and Post-Primary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</si>
</sst>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164" formatCode="_-* #,##0_-;\-* #,##0_-;_-* &quot;-&quot;_-;_-@_-"/>
    <numFmt numFmtId="165" formatCode="_-* #,##0.00_-;\-* #,##0.00_-;_-* &quot;-&quot;??_-;_-@_-"/>
    <numFmt numFmtId="166" formatCode="0.0%"/>
    <numFmt numFmtId="167" formatCode="&quot; &quot;#,##0&quot; &quot;;&quot;-&quot;#,##0&quot; &quot;;&quot; - &quot;;&quot; &quot;@&quot; &quot;"/>
    <numFmt numFmtId="168" formatCode="&quot; &quot;#,##0&quot; &quot;;&quot; (&quot;#,##0&quot;)&quot;;&quot; - &quot;;&quot; &quot;@&quot; &quot;"/>
    <numFmt numFmtId="169" formatCode="#,##0&quot; &quot;;&quot;-&quot;#,##0&quot; &quot;"/>
    <numFmt numFmtId="170" formatCode="&quot; &quot;#,##0.00&quot; &quot;;&quot; (&quot;#,##0.00&quot;)&quot;;&quot; -&quot;00&quot; &quot;;&quot; &quot;@&quot; &quot;"/>
    <numFmt numFmtId="171" formatCode="&quot; &quot;#,##0.00&quot; &quot;;&quot;-&quot;#,##0.00&quot; &quot;;&quot; -&quot;00&quot; &quot;;&quot; &quot;@&quot; &quot;"/>
  </numFmts>
  <fonts count="21">
    <font>
      <sz val="10"/>
      <color rgb="FF000000"/>
      <name val="Arial"/>
      <family val="2"/>
    </font>
    <font>
      <sz val="11"/>
      <color theme="1"/>
      <name val="Calibri"/>
      <family val="2"/>
      <scheme val="minor"/>
    </font>
    <font>
      <sz val="10"/>
      <color rgb="FF000000"/>
      <name val="Arial"/>
      <family val="2"/>
    </font>
    <font>
      <u/>
      <sz val="10"/>
      <color rgb="FF0000FF"/>
      <name val="Arial"/>
      <family val="2"/>
    </font>
    <font>
      <sz val="11"/>
      <color rgb="FF000000"/>
      <name val="Calibri"/>
      <family val="2"/>
    </font>
    <font>
      <b/>
      <sz val="10"/>
      <color rgb="FF000000"/>
      <name val="Arial"/>
      <family val="2"/>
    </font>
    <font>
      <b/>
      <sz val="14"/>
      <color rgb="FF000000"/>
      <name val="Arial"/>
      <family val="2"/>
    </font>
    <font>
      <vertAlign val="superscript"/>
      <sz val="10"/>
      <color rgb="FF000000"/>
      <name val="Arial"/>
      <family val="2"/>
    </font>
    <font>
      <i/>
      <sz val="10"/>
      <color rgb="FF000000"/>
      <name val="Arial"/>
      <family val="2"/>
    </font>
    <font>
      <b/>
      <vertAlign val="superscript"/>
      <sz val="10"/>
      <color rgb="FF000000"/>
      <name val="Arial"/>
      <family val="2"/>
    </font>
    <font>
      <sz val="7"/>
      <color rgb="FF000000"/>
      <name val="Arial"/>
      <family val="2"/>
    </font>
    <font>
      <b/>
      <sz val="12"/>
      <color rgb="FF000000"/>
      <name val="Arial"/>
      <family val="2"/>
    </font>
    <font>
      <sz val="10"/>
      <name val="Arial"/>
      <family val="2"/>
    </font>
    <font>
      <b/>
      <sz val="14"/>
      <name val="Arial"/>
      <family val="2"/>
    </font>
    <font>
      <b/>
      <sz val="10"/>
      <name val="Arial"/>
      <family val="2"/>
    </font>
    <font>
      <sz val="10"/>
      <name val="Arial"/>
      <family val="2"/>
    </font>
    <font>
      <vertAlign val="superscript"/>
      <sz val="10"/>
      <name val="Arial"/>
      <family val="2"/>
    </font>
    <font>
      <b/>
      <sz val="10"/>
      <color rgb="FFFF0000"/>
      <name val="Arial"/>
      <family val="2"/>
    </font>
    <font>
      <sz val="11"/>
      <color rgb="FF006100"/>
      <name val="Calibri"/>
      <family val="2"/>
      <scheme val="minor"/>
    </font>
    <font>
      <b/>
      <sz val="8"/>
      <name val="Franklin Gothic Book"/>
      <family val="2"/>
    </font>
    <font>
      <sz val="8"/>
      <name val="Franklin Gothic Book"/>
      <family val="2"/>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C6EFCE"/>
      </patternFill>
    </fill>
    <fill>
      <patternFill patternType="solid">
        <fgColor theme="6" tint="0.59999389629810485"/>
        <bgColor indexed="64"/>
      </patternFill>
    </fill>
    <fill>
      <patternFill patternType="solid">
        <fgColor theme="6" tint="0.39997558519241921"/>
        <bgColor indexed="64"/>
      </patternFill>
    </fill>
  </fills>
  <borders count="108">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medium">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diagonal/>
    </border>
    <border>
      <left style="thick">
        <color rgb="FF000000"/>
      </left>
      <right/>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diagonal/>
    </border>
    <border>
      <left style="thin">
        <color rgb="FF000000"/>
      </left>
      <right style="thick">
        <color rgb="FF000000"/>
      </right>
      <top style="thin">
        <color rgb="FF000000"/>
      </top>
      <bottom/>
      <diagonal/>
    </border>
    <border>
      <left style="thin">
        <color rgb="FF000000"/>
      </left>
      <right style="thick">
        <color rgb="FF000000"/>
      </right>
      <top/>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bottom style="thick">
        <color rgb="FF000000"/>
      </bottom>
      <diagonal/>
    </border>
    <border>
      <left style="thin">
        <color rgb="FF000000"/>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style="medium">
        <color rgb="FF000000"/>
      </left>
      <right/>
      <top/>
      <bottom style="medium">
        <color rgb="FF000000"/>
      </bottom>
      <diagonal/>
    </border>
    <border>
      <left/>
      <right/>
      <top/>
      <bottom style="medium">
        <color rgb="FF000000"/>
      </bottom>
      <diagonal/>
    </border>
    <border>
      <left/>
      <right style="thick">
        <color rgb="FF000000"/>
      </right>
      <top/>
      <bottom/>
      <diagonal/>
    </border>
    <border>
      <left style="thin">
        <color rgb="FF000000"/>
      </left>
      <right/>
      <top style="thick">
        <color rgb="FF000000"/>
      </top>
      <bottom/>
      <diagonal/>
    </border>
    <border>
      <left style="thin">
        <color rgb="FF000000"/>
      </left>
      <right style="thick">
        <color rgb="FF000000"/>
      </right>
      <top style="thick">
        <color rgb="FF000000"/>
      </top>
      <bottom/>
      <diagonal/>
    </border>
    <border>
      <left style="thin">
        <color rgb="FF000000"/>
      </left>
      <right style="thick">
        <color rgb="FF000000"/>
      </right>
      <top style="thin">
        <color rgb="FF000000"/>
      </top>
      <bottom style="thick">
        <color rgb="FF000000"/>
      </bottom>
      <diagonal/>
    </border>
    <border>
      <left style="thick">
        <color indexed="64"/>
      </left>
      <right/>
      <top style="thick">
        <color indexed="64"/>
      </top>
      <bottom/>
      <diagonal/>
    </border>
    <border>
      <left/>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top/>
      <bottom/>
      <diagonal/>
    </border>
    <border>
      <left style="thin">
        <color indexed="64"/>
      </left>
      <right style="thin">
        <color indexed="64"/>
      </right>
      <top/>
      <bottom/>
      <diagonal/>
    </border>
    <border>
      <left style="thin">
        <color indexed="64"/>
      </left>
      <right style="thick">
        <color indexed="64"/>
      </right>
      <top/>
      <bottom/>
      <diagonal/>
    </border>
    <border>
      <left style="thick">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style="thin">
        <color indexed="64"/>
      </top>
      <bottom/>
      <diagonal/>
    </border>
    <border>
      <left style="thin">
        <color indexed="64"/>
      </left>
      <right/>
      <top/>
      <bottom/>
      <diagonal/>
    </border>
    <border>
      <left style="thin">
        <color indexed="64"/>
      </left>
      <right style="thick">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thick">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n">
        <color indexed="64"/>
      </bottom>
      <diagonal/>
    </border>
    <border>
      <left/>
      <right style="thick">
        <color indexed="64"/>
      </right>
      <top style="thin">
        <color indexed="64"/>
      </top>
      <bottom/>
      <diagonal/>
    </border>
    <border>
      <left style="thick">
        <color indexed="64"/>
      </left>
      <right/>
      <top style="thin">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medium">
        <color indexed="64"/>
      </top>
      <bottom style="thick">
        <color indexed="64"/>
      </bottom>
      <diagonal/>
    </border>
    <border>
      <left/>
      <right style="thin">
        <color indexed="64"/>
      </right>
      <top style="medium">
        <color indexed="64"/>
      </top>
      <bottom style="thick">
        <color indexed="64"/>
      </bottom>
      <diagonal/>
    </border>
    <border>
      <left/>
      <right/>
      <top style="medium">
        <color indexed="64"/>
      </top>
      <bottom style="thick">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ck">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8">
    <xf numFmtId="0" fontId="0" fillId="0" borderId="0"/>
    <xf numFmtId="17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3" fillId="0" borderId="0" applyNumberFormat="0" applyFill="0" applyBorder="0" applyAlignment="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0" fontId="4" fillId="0" borderId="0" applyNumberFormat="0" applyBorder="0" applyProtection="0"/>
    <xf numFmtId="0" fontId="2" fillId="0" borderId="0" applyNumberFormat="0" applyFont="0" applyBorder="0" applyProtection="0"/>
    <xf numFmtId="0" fontId="2" fillId="0" borderId="0" applyNumberFormat="0" applyFont="0" applyBorder="0" applyProtection="0"/>
    <xf numFmtId="0" fontId="2" fillId="0" borderId="0" applyNumberFormat="0" applyFont="0" applyBorder="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2" fillId="0" borderId="0"/>
    <xf numFmtId="0" fontId="1" fillId="0" borderId="0"/>
    <xf numFmtId="0" fontId="15" fillId="0" borderId="0"/>
    <xf numFmtId="9" fontId="12" fillId="0" borderId="0" applyFont="0" applyFill="0" applyBorder="0" applyAlignment="0" applyProtection="0"/>
    <xf numFmtId="165" fontId="12" fillId="0" borderId="0" applyFont="0" applyFill="0" applyBorder="0" applyAlignment="0" applyProtection="0"/>
    <xf numFmtId="0" fontId="18" fillId="5" borderId="0" applyNumberFormat="0" applyBorder="0" applyAlignment="0" applyProtection="0"/>
    <xf numFmtId="0" fontId="12" fillId="0" borderId="0"/>
  </cellStyleXfs>
  <cellXfs count="444">
    <xf numFmtId="0" fontId="0" fillId="0" borderId="0" xfId="0"/>
    <xf numFmtId="0" fontId="5" fillId="0" borderId="0" xfId="0" applyFont="1"/>
    <xf numFmtId="0" fontId="6" fillId="0" borderId="0" xfId="13" applyFont="1" applyAlignment="1">
      <alignment vertical="center"/>
    </xf>
    <xf numFmtId="167" fontId="6" fillId="0" borderId="0" xfId="13" applyNumberFormat="1" applyFont="1" applyAlignment="1">
      <alignment vertical="center"/>
    </xf>
    <xf numFmtId="0" fontId="0" fillId="0" borderId="0" xfId="13" applyFont="1" applyAlignment="1">
      <alignment vertical="center"/>
    </xf>
    <xf numFmtId="167" fontId="0" fillId="0" borderId="0" xfId="13" applyNumberFormat="1" applyFont="1" applyAlignment="1">
      <alignment vertical="center"/>
    </xf>
    <xf numFmtId="0" fontId="0" fillId="0" borderId="0" xfId="13" applyFont="1" applyAlignment="1">
      <alignment horizontal="center" vertical="center"/>
    </xf>
    <xf numFmtId="0" fontId="5" fillId="0" borderId="0" xfId="13" applyFont="1" applyAlignment="1">
      <alignment horizontal="center" vertical="center"/>
    </xf>
    <xf numFmtId="0" fontId="5" fillId="0" borderId="7" xfId="13" applyFont="1" applyBorder="1" applyAlignment="1">
      <alignment horizontal="center" vertical="center"/>
    </xf>
    <xf numFmtId="0" fontId="5" fillId="0" borderId="0" xfId="13" applyFont="1" applyAlignment="1">
      <alignment vertical="center"/>
    </xf>
    <xf numFmtId="167" fontId="0" fillId="0" borderId="8" xfId="13" applyNumberFormat="1" applyFont="1" applyBorder="1" applyAlignment="1">
      <alignment horizontal="right" vertical="center"/>
    </xf>
    <xf numFmtId="167" fontId="0" fillId="0" borderId="9" xfId="13" applyNumberFormat="1" applyFont="1" applyBorder="1" applyAlignment="1">
      <alignment horizontal="right" vertical="center"/>
    </xf>
    <xf numFmtId="0" fontId="5" fillId="0" borderId="10" xfId="13" applyFont="1" applyBorder="1" applyAlignment="1">
      <alignment vertical="center"/>
    </xf>
    <xf numFmtId="167" fontId="0" fillId="0" borderId="11" xfId="13" applyNumberFormat="1" applyFont="1" applyBorder="1" applyAlignment="1">
      <alignment horizontal="right" vertical="center"/>
    </xf>
    <xf numFmtId="0" fontId="5" fillId="0" borderId="7" xfId="13" applyFont="1" applyBorder="1" applyAlignment="1">
      <alignment vertical="center"/>
    </xf>
    <xf numFmtId="167" fontId="0" fillId="0" borderId="12" xfId="13" applyNumberFormat="1" applyFont="1" applyBorder="1" applyAlignment="1">
      <alignment horizontal="right" vertical="center"/>
    </xf>
    <xf numFmtId="167" fontId="0" fillId="0" borderId="14" xfId="13" applyNumberFormat="1" applyFont="1" applyBorder="1" applyAlignment="1">
      <alignment vertical="center"/>
    </xf>
    <xf numFmtId="167" fontId="0" fillId="0" borderId="14" xfId="13" applyNumberFormat="1" applyFont="1" applyBorder="1" applyAlignment="1">
      <alignment horizontal="right" vertical="center"/>
    </xf>
    <xf numFmtId="167" fontId="0" fillId="0" borderId="15" xfId="13" applyNumberFormat="1" applyFont="1" applyBorder="1" applyAlignment="1">
      <alignment horizontal="right" vertical="center"/>
    </xf>
    <xf numFmtId="167" fontId="0" fillId="0" borderId="8" xfId="4" applyNumberFormat="1" applyFont="1" applyBorder="1" applyAlignment="1">
      <alignment horizontal="right" vertical="center"/>
    </xf>
    <xf numFmtId="167" fontId="0" fillId="0" borderId="14" xfId="4" applyNumberFormat="1" applyFont="1" applyBorder="1" applyAlignment="1">
      <alignment horizontal="right" vertical="center"/>
    </xf>
    <xf numFmtId="167" fontId="0" fillId="0" borderId="0" xfId="4" applyNumberFormat="1" applyFont="1" applyAlignment="1">
      <alignment horizontal="right" vertical="center"/>
    </xf>
    <xf numFmtId="167" fontId="0" fillId="0" borderId="15" xfId="4" applyNumberFormat="1" applyFont="1" applyBorder="1" applyAlignment="1">
      <alignment horizontal="right" vertical="center"/>
    </xf>
    <xf numFmtId="167" fontId="0" fillId="0" borderId="0" xfId="13" applyNumberFormat="1" applyFont="1" applyAlignment="1">
      <alignment horizontal="right" vertical="center"/>
    </xf>
    <xf numFmtId="166" fontId="0" fillId="0" borderId="0" xfId="18" applyNumberFormat="1" applyFont="1" applyAlignment="1">
      <alignment vertical="center"/>
    </xf>
    <xf numFmtId="0" fontId="7" fillId="0" borderId="0" xfId="13" applyFont="1" applyAlignment="1">
      <alignment vertical="center"/>
    </xf>
    <xf numFmtId="0" fontId="5" fillId="0" borderId="18" xfId="13" applyFont="1" applyBorder="1" applyAlignment="1">
      <alignment horizontal="center" vertical="center"/>
    </xf>
    <xf numFmtId="0" fontId="5" fillId="0" borderId="19" xfId="13" applyFont="1" applyBorder="1" applyAlignment="1">
      <alignment horizontal="center" vertical="center"/>
    </xf>
    <xf numFmtId="0" fontId="5" fillId="0" borderId="22" xfId="13" applyFont="1" applyBorder="1" applyAlignment="1">
      <alignment horizontal="center" vertical="center"/>
    </xf>
    <xf numFmtId="0" fontId="5" fillId="0" borderId="23" xfId="13" applyFont="1" applyBorder="1" applyAlignment="1">
      <alignment horizontal="center" vertical="center"/>
    </xf>
    <xf numFmtId="0" fontId="5" fillId="0" borderId="25" xfId="13" applyFont="1" applyBorder="1" applyAlignment="1">
      <alignment vertical="center"/>
    </xf>
    <xf numFmtId="167" fontId="0" fillId="0" borderId="26" xfId="13" applyNumberFormat="1" applyFont="1" applyBorder="1" applyAlignment="1">
      <alignment horizontal="right" vertical="center"/>
    </xf>
    <xf numFmtId="0" fontId="5" fillId="0" borderId="22" xfId="13" applyFont="1" applyBorder="1" applyAlignment="1">
      <alignment vertical="center"/>
    </xf>
    <xf numFmtId="167" fontId="0" fillId="0" borderId="27" xfId="13" applyNumberFormat="1" applyFont="1" applyBorder="1" applyAlignment="1">
      <alignment horizontal="right" vertical="center"/>
    </xf>
    <xf numFmtId="0" fontId="5" fillId="0" borderId="23" xfId="13" applyFont="1" applyBorder="1" applyAlignment="1">
      <alignment vertical="center"/>
    </xf>
    <xf numFmtId="167" fontId="0" fillId="0" borderId="28" xfId="13" applyNumberFormat="1" applyFont="1" applyBorder="1" applyAlignment="1">
      <alignment horizontal="right" vertical="center"/>
    </xf>
    <xf numFmtId="167" fontId="0" fillId="0" borderId="30" xfId="13" applyNumberFormat="1" applyFont="1" applyBorder="1" applyAlignment="1">
      <alignment horizontal="right" vertical="center"/>
    </xf>
    <xf numFmtId="167" fontId="0" fillId="0" borderId="31" xfId="13" applyNumberFormat="1" applyFont="1" applyBorder="1" applyAlignment="1">
      <alignment horizontal="right" vertical="center"/>
    </xf>
    <xf numFmtId="0" fontId="6" fillId="0" borderId="0" xfId="0" applyFont="1" applyAlignment="1">
      <alignment vertical="center"/>
    </xf>
    <xf numFmtId="167" fontId="6" fillId="0" borderId="0" xfId="0" applyNumberFormat="1" applyFont="1" applyAlignment="1">
      <alignment vertical="center"/>
    </xf>
    <xf numFmtId="0" fontId="0" fillId="0" borderId="0" xfId="0" applyAlignment="1">
      <alignment vertical="center"/>
    </xf>
    <xf numFmtId="167" fontId="0" fillId="0" borderId="0" xfId="0" applyNumberFormat="1" applyAlignment="1">
      <alignment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0" fillId="0" borderId="0" xfId="0" applyAlignment="1">
      <alignment horizontal="center" vertical="center"/>
    </xf>
    <xf numFmtId="0" fontId="5" fillId="0" borderId="22" xfId="0" applyFont="1" applyBorder="1" applyAlignment="1">
      <alignment horizontal="center" vertical="center"/>
    </xf>
    <xf numFmtId="0" fontId="5" fillId="0" borderId="0" xfId="0" applyFont="1" applyAlignment="1">
      <alignment horizontal="center" vertical="center"/>
    </xf>
    <xf numFmtId="0" fontId="5" fillId="0" borderId="23" xfId="0" applyFont="1" applyBorder="1" applyAlignment="1">
      <alignment horizontal="center" vertical="center"/>
    </xf>
    <xf numFmtId="0" fontId="5" fillId="0" borderId="7" xfId="0" applyFont="1" applyBorder="1" applyAlignment="1">
      <alignment horizontal="center" vertical="center"/>
    </xf>
    <xf numFmtId="0" fontId="5" fillId="0" borderId="0" xfId="0" applyFont="1" applyAlignment="1">
      <alignment vertical="center"/>
    </xf>
    <xf numFmtId="167" fontId="0" fillId="0" borderId="8" xfId="0" applyNumberFormat="1" applyBorder="1" applyAlignment="1">
      <alignment horizontal="right" vertical="center"/>
    </xf>
    <xf numFmtId="167" fontId="0" fillId="0" borderId="9" xfId="0" applyNumberFormat="1" applyBorder="1" applyAlignment="1">
      <alignment horizontal="right" vertical="center"/>
    </xf>
    <xf numFmtId="0" fontId="5" fillId="0" borderId="25" xfId="0" applyFont="1" applyBorder="1" applyAlignment="1">
      <alignment vertical="center"/>
    </xf>
    <xf numFmtId="0" fontId="5" fillId="0" borderId="10" xfId="0" applyFont="1" applyBorder="1" applyAlignment="1">
      <alignment vertical="center"/>
    </xf>
    <xf numFmtId="167" fontId="0" fillId="0" borderId="11" xfId="0" applyNumberFormat="1" applyBorder="1" applyAlignment="1">
      <alignment horizontal="right" vertical="center"/>
    </xf>
    <xf numFmtId="167" fontId="0" fillId="0" borderId="26" xfId="0" applyNumberFormat="1" applyBorder="1" applyAlignment="1">
      <alignment horizontal="right" vertical="center"/>
    </xf>
    <xf numFmtId="0" fontId="5" fillId="0" borderId="22" xfId="0" applyFont="1" applyBorder="1" applyAlignment="1">
      <alignment vertical="center"/>
    </xf>
    <xf numFmtId="167" fontId="0" fillId="0" borderId="27" xfId="0" applyNumberFormat="1" applyBorder="1" applyAlignment="1">
      <alignment horizontal="right" vertical="center"/>
    </xf>
    <xf numFmtId="0" fontId="5" fillId="0" borderId="23" xfId="0" applyFont="1" applyBorder="1" applyAlignment="1">
      <alignment vertical="center"/>
    </xf>
    <xf numFmtId="0" fontId="5" fillId="0" borderId="7" xfId="0" applyFont="1" applyBorder="1" applyAlignment="1">
      <alignment vertical="center"/>
    </xf>
    <xf numFmtId="167" fontId="0" fillId="0" borderId="12" xfId="0" applyNumberFormat="1" applyBorder="1" applyAlignment="1">
      <alignment horizontal="right" vertical="center"/>
    </xf>
    <xf numFmtId="167" fontId="0" fillId="0" borderId="28" xfId="0" applyNumberFormat="1" applyBorder="1" applyAlignment="1">
      <alignment horizontal="right" vertical="center"/>
    </xf>
    <xf numFmtId="3" fontId="0" fillId="0" borderId="0" xfId="0" applyNumberFormat="1" applyAlignment="1">
      <alignment vertical="center"/>
    </xf>
    <xf numFmtId="166" fontId="0" fillId="0" borderId="0" xfId="18" applyNumberFormat="1" applyFont="1" applyAlignment="1">
      <alignment horizontal="center" vertical="center"/>
    </xf>
    <xf numFmtId="167" fontId="0" fillId="0" borderId="14" xfId="0" applyNumberFormat="1" applyBorder="1" applyAlignment="1">
      <alignment vertical="center"/>
    </xf>
    <xf numFmtId="167" fontId="0" fillId="0" borderId="15" xfId="0" applyNumberFormat="1" applyBorder="1" applyAlignment="1">
      <alignment vertical="center"/>
    </xf>
    <xf numFmtId="167" fontId="0" fillId="0" borderId="8" xfId="5" applyNumberFormat="1" applyFont="1" applyBorder="1" applyAlignment="1">
      <alignment horizontal="right" vertical="center"/>
    </xf>
    <xf numFmtId="167" fontId="0" fillId="0" borderId="14" xfId="5" applyNumberFormat="1" applyFont="1" applyBorder="1" applyAlignment="1">
      <alignment horizontal="right" vertical="center"/>
    </xf>
    <xf numFmtId="167" fontId="0" fillId="0" borderId="0" xfId="5" applyNumberFormat="1" applyFont="1" applyAlignment="1">
      <alignment horizontal="right" vertical="center"/>
    </xf>
    <xf numFmtId="167" fontId="0" fillId="0" borderId="15" xfId="5" applyNumberFormat="1" applyFont="1" applyBorder="1" applyAlignment="1">
      <alignment horizontal="right" vertical="center"/>
    </xf>
    <xf numFmtId="167" fontId="0" fillId="0" borderId="0" xfId="0" applyNumberFormat="1" applyAlignment="1">
      <alignment horizontal="right" vertical="center"/>
    </xf>
    <xf numFmtId="0" fontId="5" fillId="0" borderId="32" xfId="0" applyFont="1" applyBorder="1" applyAlignment="1">
      <alignment vertical="center"/>
    </xf>
    <xf numFmtId="0" fontId="0" fillId="0" borderId="33" xfId="0" applyBorder="1" applyAlignment="1">
      <alignment vertical="center"/>
    </xf>
    <xf numFmtId="167" fontId="0" fillId="0" borderId="30" xfId="0" applyNumberFormat="1" applyBorder="1" applyAlignment="1">
      <alignment horizontal="right" vertical="center"/>
    </xf>
    <xf numFmtId="167" fontId="0" fillId="0" borderId="31" xfId="0" applyNumberFormat="1" applyBorder="1" applyAlignment="1">
      <alignment horizontal="right" vertical="center"/>
    </xf>
    <xf numFmtId="0" fontId="7" fillId="0" borderId="0" xfId="0" applyFont="1" applyAlignment="1">
      <alignmen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vertical="center"/>
    </xf>
    <xf numFmtId="167" fontId="8" fillId="0" borderId="8" xfId="0" applyNumberFormat="1" applyFont="1" applyBorder="1" applyAlignment="1">
      <alignment horizontal="right" vertical="center"/>
    </xf>
    <xf numFmtId="0" fontId="5" fillId="0" borderId="6" xfId="0" applyFont="1" applyBorder="1" applyAlignment="1">
      <alignment vertical="center"/>
    </xf>
    <xf numFmtId="167" fontId="8" fillId="0" borderId="12" xfId="0" applyNumberFormat="1" applyFont="1" applyBorder="1" applyAlignment="1">
      <alignment horizontal="right" vertical="center"/>
    </xf>
    <xf numFmtId="167" fontId="0" fillId="0" borderId="13" xfId="0" applyNumberFormat="1" applyBorder="1" applyAlignment="1">
      <alignment horizontal="right" vertical="center"/>
    </xf>
    <xf numFmtId="166" fontId="2" fillId="0" borderId="0" xfId="2" applyNumberFormat="1" applyAlignment="1">
      <alignment vertical="center"/>
    </xf>
    <xf numFmtId="0" fontId="5" fillId="0" borderId="34" xfId="0" applyFont="1" applyBorder="1" applyAlignment="1">
      <alignment vertical="center"/>
    </xf>
    <xf numFmtId="0" fontId="0" fillId="0" borderId="35" xfId="0" applyBorder="1" applyAlignment="1">
      <alignment vertical="center"/>
    </xf>
    <xf numFmtId="0" fontId="5" fillId="0" borderId="35" xfId="0" applyFont="1" applyBorder="1" applyAlignment="1">
      <alignment vertical="center"/>
    </xf>
    <xf numFmtId="167" fontId="8" fillId="0" borderId="16" xfId="0" applyNumberFormat="1" applyFont="1" applyBorder="1" applyAlignment="1">
      <alignment horizontal="right" vertical="center"/>
    </xf>
    <xf numFmtId="167" fontId="8" fillId="0" borderId="17" xfId="0" applyNumberFormat="1" applyFont="1" applyBorder="1" applyAlignment="1">
      <alignment horizontal="right" vertical="center"/>
    </xf>
    <xf numFmtId="168" fontId="6" fillId="0" borderId="0" xfId="0" applyNumberFormat="1" applyFont="1" applyAlignment="1">
      <alignment vertical="center"/>
    </xf>
    <xf numFmtId="168" fontId="0" fillId="0" borderId="0" xfId="0" applyNumberFormat="1" applyAlignment="1">
      <alignment vertical="center"/>
    </xf>
    <xf numFmtId="168" fontId="0" fillId="0" borderId="8" xfId="0" applyNumberFormat="1" applyBorder="1" applyAlignment="1">
      <alignment horizontal="right" vertical="center"/>
    </xf>
    <xf numFmtId="168" fontId="0" fillId="0" borderId="27" xfId="0" applyNumberFormat="1" applyBorder="1" applyAlignment="1">
      <alignment horizontal="right" vertical="center"/>
    </xf>
    <xf numFmtId="168" fontId="0" fillId="0" borderId="12" xfId="0" applyNumberFormat="1" applyBorder="1" applyAlignment="1">
      <alignment horizontal="right" vertical="center"/>
    </xf>
    <xf numFmtId="168" fontId="0" fillId="0" borderId="28" xfId="0" applyNumberFormat="1" applyBorder="1" applyAlignment="1">
      <alignment horizontal="right" vertical="center"/>
    </xf>
    <xf numFmtId="168" fontId="0" fillId="0" borderId="0" xfId="0" applyNumberFormat="1" applyAlignment="1">
      <alignment horizontal="right" vertical="center"/>
    </xf>
    <xf numFmtId="168" fontId="0" fillId="0" borderId="14" xfId="0" applyNumberFormat="1" applyBorder="1" applyAlignment="1">
      <alignment vertical="center"/>
    </xf>
    <xf numFmtId="168" fontId="0" fillId="0" borderId="15" xfId="0" applyNumberFormat="1" applyBorder="1" applyAlignment="1">
      <alignment vertical="center"/>
    </xf>
    <xf numFmtId="168" fontId="0" fillId="0" borderId="27" xfId="0" applyNumberFormat="1" applyBorder="1" applyAlignment="1">
      <alignment vertical="center"/>
    </xf>
    <xf numFmtId="168" fontId="2" fillId="0" borderId="8" xfId="1" applyNumberFormat="1" applyBorder="1" applyAlignment="1">
      <alignment horizontal="right" vertical="center"/>
    </xf>
    <xf numFmtId="168" fontId="2" fillId="0" borderId="14" xfId="1" applyNumberFormat="1" applyBorder="1" applyAlignment="1">
      <alignment horizontal="right" vertical="center"/>
    </xf>
    <xf numFmtId="168" fontId="2" fillId="0" borderId="0" xfId="1" applyNumberFormat="1" applyAlignment="1">
      <alignment horizontal="right" vertical="center"/>
    </xf>
    <xf numFmtId="168" fontId="2" fillId="0" borderId="15" xfId="1" applyNumberFormat="1" applyBorder="1" applyAlignment="1">
      <alignment horizontal="right" vertical="center"/>
    </xf>
    <xf numFmtId="168" fontId="2" fillId="0" borderId="36" xfId="1" applyNumberFormat="1" applyBorder="1" applyAlignment="1">
      <alignment horizontal="right" vertical="center"/>
    </xf>
    <xf numFmtId="0" fontId="5" fillId="0" borderId="33" xfId="0" applyFont="1" applyBorder="1" applyAlignment="1">
      <alignment vertical="center"/>
    </xf>
    <xf numFmtId="168" fontId="0" fillId="0" borderId="30" xfId="0" applyNumberFormat="1" applyBorder="1" applyAlignment="1">
      <alignment horizontal="right" vertical="center"/>
    </xf>
    <xf numFmtId="168" fontId="0" fillId="0" borderId="31" xfId="0" applyNumberFormat="1" applyBorder="1" applyAlignment="1">
      <alignment horizontal="right" vertical="center"/>
    </xf>
    <xf numFmtId="0" fontId="0" fillId="0" borderId="0" xfId="11" applyFont="1"/>
    <xf numFmtId="0" fontId="0" fillId="0" borderId="0" xfId="10" applyFont="1"/>
    <xf numFmtId="0" fontId="0" fillId="0" borderId="0" xfId="9" applyFont="1"/>
    <xf numFmtId="0" fontId="0" fillId="0" borderId="0" xfId="8" applyFont="1"/>
    <xf numFmtId="0" fontId="0" fillId="0" borderId="0" xfId="7" applyFont="1"/>
    <xf numFmtId="0" fontId="5" fillId="0" borderId="0" xfId="0" applyFont="1" applyAlignment="1">
      <alignment vertical="center" wrapText="1"/>
    </xf>
    <xf numFmtId="0" fontId="5" fillId="0" borderId="7" xfId="0" applyFont="1" applyBorder="1" applyAlignment="1">
      <alignment vertical="center" wrapText="1"/>
    </xf>
    <xf numFmtId="0" fontId="10" fillId="0" borderId="0" xfId="16" applyFont="1" applyAlignment="1">
      <alignment horizontal="left" vertical="top" wrapText="1"/>
    </xf>
    <xf numFmtId="1" fontId="0" fillId="0" borderId="0" xfId="0" applyNumberFormat="1"/>
    <xf numFmtId="0" fontId="6" fillId="0" borderId="0" xfId="0" applyFont="1"/>
    <xf numFmtId="0" fontId="5" fillId="0" borderId="18" xfId="0" applyFont="1" applyBorder="1" applyAlignment="1">
      <alignment horizontal="center"/>
    </xf>
    <xf numFmtId="0" fontId="5" fillId="0" borderId="19" xfId="0" applyFont="1" applyBorder="1" applyAlignment="1">
      <alignment horizontal="center"/>
    </xf>
    <xf numFmtId="0" fontId="5" fillId="0" borderId="37" xfId="0" applyFont="1" applyBorder="1" applyAlignment="1">
      <alignment horizontal="center"/>
    </xf>
    <xf numFmtId="0" fontId="5" fillId="0" borderId="38" xfId="0" applyFont="1" applyBorder="1" applyAlignment="1">
      <alignment horizontal="center"/>
    </xf>
    <xf numFmtId="0" fontId="0" fillId="0" borderId="0" xfId="0" applyAlignment="1">
      <alignment horizontal="center"/>
    </xf>
    <xf numFmtId="0" fontId="5" fillId="0" borderId="22" xfId="0" applyFont="1" applyBorder="1" applyAlignment="1">
      <alignment horizontal="center"/>
    </xf>
    <xf numFmtId="0" fontId="5" fillId="0" borderId="0" xfId="0" applyFont="1" applyAlignment="1">
      <alignment horizontal="center"/>
    </xf>
    <xf numFmtId="0" fontId="5" fillId="0" borderId="8" xfId="0" applyFont="1" applyBorder="1" applyAlignment="1">
      <alignment horizontal="center"/>
    </xf>
    <xf numFmtId="0" fontId="5" fillId="0" borderId="27" xfId="0" applyFont="1" applyBorder="1" applyAlignment="1">
      <alignment horizontal="center"/>
    </xf>
    <xf numFmtId="0" fontId="5" fillId="0" borderId="23" xfId="0" applyFont="1" applyBorder="1" applyAlignment="1">
      <alignment horizontal="center"/>
    </xf>
    <xf numFmtId="0" fontId="5" fillId="0" borderId="7" xfId="0" applyFont="1" applyBorder="1" applyAlignment="1">
      <alignment horizontal="center"/>
    </xf>
    <xf numFmtId="0" fontId="5" fillId="0" borderId="12" xfId="0" applyFont="1" applyBorder="1" applyAlignment="1">
      <alignment horizontal="center"/>
    </xf>
    <xf numFmtId="0" fontId="5" fillId="0" borderId="28" xfId="0" applyFont="1" applyBorder="1" applyAlignment="1">
      <alignment horizontal="center"/>
    </xf>
    <xf numFmtId="0" fontId="5" fillId="0" borderId="22" xfId="0" applyFont="1" applyBorder="1"/>
    <xf numFmtId="3" fontId="0" fillId="0" borderId="8" xfId="0" applyNumberFormat="1" applyBorder="1" applyAlignment="1">
      <alignment horizontal="right"/>
    </xf>
    <xf numFmtId="3" fontId="0" fillId="0" borderId="27" xfId="0" applyNumberFormat="1" applyBorder="1" applyAlignment="1">
      <alignment horizontal="right"/>
    </xf>
    <xf numFmtId="0" fontId="0" fillId="0" borderId="0" xfId="17" applyFont="1"/>
    <xf numFmtId="168" fontId="0" fillId="0" borderId="8" xfId="0" applyNumberFormat="1" applyBorder="1" applyAlignment="1">
      <alignment horizontal="right"/>
    </xf>
    <xf numFmtId="0" fontId="5" fillId="0" borderId="23" xfId="0" applyFont="1" applyBorder="1"/>
    <xf numFmtId="0" fontId="5" fillId="0" borderId="7" xfId="0" applyFont="1" applyBorder="1"/>
    <xf numFmtId="3" fontId="0" fillId="0" borderId="12" xfId="0" applyNumberFormat="1" applyBorder="1" applyAlignment="1">
      <alignment horizontal="right"/>
    </xf>
    <xf numFmtId="3" fontId="0" fillId="0" borderId="28" xfId="0" applyNumberFormat="1" applyBorder="1" applyAlignment="1">
      <alignment horizontal="right"/>
    </xf>
    <xf numFmtId="169" fontId="0" fillId="0" borderId="8" xfId="0" applyNumberFormat="1" applyBorder="1" applyAlignment="1">
      <alignment horizontal="right"/>
    </xf>
    <xf numFmtId="3" fontId="0" fillId="0" borderId="0" xfId="0" applyNumberFormat="1"/>
    <xf numFmtId="3" fontId="0" fillId="0" borderId="26" xfId="0" applyNumberFormat="1" applyBorder="1" applyAlignment="1">
      <alignment horizontal="right"/>
    </xf>
    <xf numFmtId="0" fontId="0" fillId="0" borderId="14" xfId="0" applyBorder="1"/>
    <xf numFmtId="0" fontId="0" fillId="0" borderId="15" xfId="0" applyBorder="1"/>
    <xf numFmtId="0" fontId="0" fillId="0" borderId="27" xfId="0" applyBorder="1"/>
    <xf numFmtId="168" fontId="2" fillId="0" borderId="8" xfId="1" applyNumberFormat="1" applyBorder="1" applyAlignment="1">
      <alignment horizontal="right"/>
    </xf>
    <xf numFmtId="168" fontId="2" fillId="0" borderId="14" xfId="1" applyNumberFormat="1" applyBorder="1" applyAlignment="1">
      <alignment horizontal="right"/>
    </xf>
    <xf numFmtId="168" fontId="2" fillId="0" borderId="0" xfId="1" applyNumberFormat="1" applyAlignment="1">
      <alignment horizontal="right"/>
    </xf>
    <xf numFmtId="168" fontId="2" fillId="0" borderId="15" xfId="1" applyNumberFormat="1" applyBorder="1" applyAlignment="1">
      <alignment horizontal="right"/>
    </xf>
    <xf numFmtId="168" fontId="2" fillId="0" borderId="36" xfId="1" applyNumberFormat="1" applyBorder="1" applyAlignment="1">
      <alignment horizontal="right"/>
    </xf>
    <xf numFmtId="0" fontId="5" fillId="0" borderId="32" xfId="0" applyFont="1" applyBorder="1"/>
    <xf numFmtId="0" fontId="0" fillId="0" borderId="33" xfId="0" applyBorder="1"/>
    <xf numFmtId="0" fontId="5" fillId="0" borderId="33" xfId="0" applyFont="1" applyBorder="1"/>
    <xf numFmtId="3" fontId="0" fillId="0" borderId="30" xfId="0" applyNumberFormat="1" applyBorder="1" applyAlignment="1">
      <alignment horizontal="right"/>
    </xf>
    <xf numFmtId="3" fontId="0" fillId="0" borderId="31" xfId="0" applyNumberFormat="1" applyBorder="1" applyAlignment="1">
      <alignment horizontal="right"/>
    </xf>
    <xf numFmtId="3" fontId="0" fillId="0" borderId="0" xfId="0" applyNumberFormat="1" applyAlignment="1">
      <alignment horizontal="right"/>
    </xf>
    <xf numFmtId="0" fontId="7" fillId="0" borderId="0" xfId="0" applyFont="1"/>
    <xf numFmtId="3" fontId="2" fillId="0" borderId="8" xfId="1" applyNumberFormat="1" applyBorder="1" applyAlignment="1">
      <alignment horizontal="right"/>
    </xf>
    <xf numFmtId="3" fontId="2" fillId="0" borderId="14" xfId="1" applyNumberFormat="1" applyBorder="1" applyAlignment="1">
      <alignment horizontal="right"/>
    </xf>
    <xf numFmtId="3" fontId="2" fillId="0" borderId="0" xfId="1" applyNumberFormat="1" applyAlignment="1">
      <alignment horizontal="right"/>
    </xf>
    <xf numFmtId="3" fontId="2" fillId="0" borderId="15" xfId="1" applyNumberFormat="1" applyBorder="1" applyAlignment="1">
      <alignment horizontal="right"/>
    </xf>
    <xf numFmtId="3" fontId="2" fillId="0" borderId="36" xfId="1" applyNumberFormat="1" applyBorder="1" applyAlignment="1">
      <alignment horizontal="right"/>
    </xf>
    <xf numFmtId="3" fontId="0" fillId="0" borderId="39" xfId="0" applyNumberFormat="1" applyBorder="1" applyAlignment="1">
      <alignment horizontal="right"/>
    </xf>
    <xf numFmtId="168" fontId="0" fillId="0" borderId="0" xfId="0" applyNumberFormat="1" applyAlignment="1">
      <alignment horizontal="right"/>
    </xf>
    <xf numFmtId="0" fontId="11" fillId="0" borderId="0" xfId="0" applyFont="1"/>
    <xf numFmtId="3" fontId="2" fillId="0" borderId="27" xfId="1" applyNumberFormat="1" applyBorder="1" applyAlignment="1">
      <alignment horizontal="right"/>
    </xf>
    <xf numFmtId="0" fontId="13" fillId="0" borderId="0" xfId="21" applyFont="1" applyAlignment="1">
      <alignment vertical="center"/>
    </xf>
    <xf numFmtId="164" fontId="13" fillId="0" borderId="0" xfId="21" applyNumberFormat="1" applyFont="1" applyAlignment="1">
      <alignment vertical="center"/>
    </xf>
    <xf numFmtId="0" fontId="12" fillId="0" borderId="0" xfId="21" applyAlignment="1">
      <alignment vertical="center"/>
    </xf>
    <xf numFmtId="164" fontId="12" fillId="0" borderId="0" xfId="21" applyNumberFormat="1" applyAlignment="1">
      <alignment vertical="center"/>
    </xf>
    <xf numFmtId="0" fontId="14" fillId="0" borderId="40" xfId="21" applyFont="1" applyBorder="1" applyAlignment="1">
      <alignment horizontal="center" vertical="center"/>
    </xf>
    <xf numFmtId="0" fontId="14" fillId="0" borderId="41" xfId="21" applyFont="1" applyBorder="1" applyAlignment="1">
      <alignment horizontal="center" vertical="center"/>
    </xf>
    <xf numFmtId="0" fontId="12" fillId="0" borderId="0" xfId="21" applyAlignment="1">
      <alignment horizontal="center" vertical="center"/>
    </xf>
    <xf numFmtId="0" fontId="14" fillId="0" borderId="44" xfId="21" applyFont="1" applyBorder="1" applyAlignment="1">
      <alignment horizontal="center" vertical="center"/>
    </xf>
    <xf numFmtId="0" fontId="14" fillId="0" borderId="0" xfId="21" applyFont="1" applyAlignment="1">
      <alignment horizontal="center" vertical="center"/>
    </xf>
    <xf numFmtId="0" fontId="14" fillId="0" borderId="47" xfId="21" applyFont="1" applyBorder="1" applyAlignment="1">
      <alignment horizontal="center" vertical="center"/>
    </xf>
    <xf numFmtId="0" fontId="14" fillId="0" borderId="48" xfId="21" applyFont="1" applyBorder="1" applyAlignment="1">
      <alignment horizontal="center" vertical="center"/>
    </xf>
    <xf numFmtId="0" fontId="1" fillId="0" borderId="0" xfId="22"/>
    <xf numFmtId="0" fontId="14" fillId="0" borderId="0" xfId="21" applyFont="1" applyAlignment="1">
      <alignment vertical="center"/>
    </xf>
    <xf numFmtId="164" fontId="12" fillId="0" borderId="52" xfId="21" applyNumberFormat="1" applyBorder="1" applyAlignment="1">
      <alignment horizontal="right" vertical="center"/>
    </xf>
    <xf numFmtId="164" fontId="12" fillId="0" borderId="53" xfId="21" applyNumberFormat="1" applyBorder="1" applyAlignment="1">
      <alignment horizontal="right" vertical="center"/>
    </xf>
    <xf numFmtId="164" fontId="12" fillId="0" borderId="46" xfId="21" applyNumberFormat="1" applyBorder="1" applyAlignment="1">
      <alignment horizontal="right" vertical="center"/>
    </xf>
    <xf numFmtId="0" fontId="14" fillId="0" borderId="51" xfId="21" applyFont="1" applyBorder="1" applyAlignment="1">
      <alignment vertical="center"/>
    </xf>
    <xf numFmtId="0" fontId="14" fillId="0" borderId="54" xfId="21" applyFont="1" applyBorder="1" applyAlignment="1">
      <alignment vertical="center"/>
    </xf>
    <xf numFmtId="164" fontId="12" fillId="0" borderId="55" xfId="21" applyNumberFormat="1" applyBorder="1" applyAlignment="1">
      <alignment horizontal="right" vertical="center"/>
    </xf>
    <xf numFmtId="0" fontId="14" fillId="0" borderId="44" xfId="21" applyFont="1" applyBorder="1" applyAlignment="1">
      <alignment vertical="center"/>
    </xf>
    <xf numFmtId="0" fontId="14" fillId="0" borderId="47" xfId="21" applyFont="1" applyBorder="1" applyAlignment="1">
      <alignment vertical="center"/>
    </xf>
    <xf numFmtId="0" fontId="14" fillId="0" borderId="48" xfId="21" applyFont="1" applyBorder="1" applyAlignment="1">
      <alignment vertical="center"/>
    </xf>
    <xf numFmtId="164" fontId="12" fillId="0" borderId="56" xfId="21" applyNumberFormat="1" applyBorder="1" applyAlignment="1">
      <alignment horizontal="right" vertical="center"/>
    </xf>
    <xf numFmtId="164" fontId="12" fillId="0" borderId="50" xfId="21" applyNumberFormat="1" applyBorder="1" applyAlignment="1">
      <alignment horizontal="right" vertical="center"/>
    </xf>
    <xf numFmtId="0" fontId="15" fillId="0" borderId="0" xfId="23"/>
    <xf numFmtId="166" fontId="0" fillId="0" borderId="0" xfId="24" applyNumberFormat="1" applyFont="1"/>
    <xf numFmtId="164" fontId="12" fillId="0" borderId="45" xfId="21" applyNumberFormat="1" applyBorder="1" applyAlignment="1">
      <alignment vertical="center"/>
    </xf>
    <xf numFmtId="164" fontId="12" fillId="0" borderId="57" xfId="21" applyNumberFormat="1" applyBorder="1" applyAlignment="1">
      <alignment vertical="center"/>
    </xf>
    <xf numFmtId="164" fontId="12" fillId="2" borderId="50" xfId="21" applyNumberFormat="1" applyFill="1" applyBorder="1" applyAlignment="1">
      <alignment horizontal="right" vertical="center"/>
    </xf>
    <xf numFmtId="164" fontId="12" fillId="0" borderId="52" xfId="25" applyNumberFormat="1" applyFont="1" applyBorder="1" applyAlignment="1">
      <alignment horizontal="right" vertical="center"/>
    </xf>
    <xf numFmtId="164" fontId="12" fillId="0" borderId="45" xfId="25" applyNumberFormat="1" applyFont="1" applyBorder="1" applyAlignment="1">
      <alignment horizontal="right" vertical="center"/>
    </xf>
    <xf numFmtId="164" fontId="12" fillId="0" borderId="0" xfId="25" applyNumberFormat="1" applyFont="1" applyBorder="1" applyAlignment="1">
      <alignment horizontal="right" vertical="center"/>
    </xf>
    <xf numFmtId="164" fontId="12" fillId="0" borderId="57" xfId="25" applyNumberFormat="1" applyFont="1" applyBorder="1" applyAlignment="1">
      <alignment horizontal="right" vertical="center"/>
    </xf>
    <xf numFmtId="164" fontId="12" fillId="0" borderId="60" xfId="21" applyNumberFormat="1" applyBorder="1" applyAlignment="1">
      <alignment horizontal="right" vertical="center"/>
    </xf>
    <xf numFmtId="164" fontId="12" fillId="0" borderId="61" xfId="21" applyNumberFormat="1" applyBorder="1" applyAlignment="1">
      <alignment horizontal="right" vertical="center"/>
    </xf>
    <xf numFmtId="164" fontId="12" fillId="0" borderId="0" xfId="21" applyNumberFormat="1" applyAlignment="1">
      <alignment horizontal="right" vertical="center"/>
    </xf>
    <xf numFmtId="166" fontId="12" fillId="0" borderId="0" xfId="24" applyNumberFormat="1" applyFont="1" applyAlignment="1">
      <alignment vertical="center"/>
    </xf>
    <xf numFmtId="0" fontId="16" fillId="0" borderId="0" xfId="21" applyFont="1" applyAlignment="1">
      <alignment vertical="center"/>
    </xf>
    <xf numFmtId="49" fontId="12" fillId="0" borderId="0" xfId="21" applyNumberFormat="1" applyAlignment="1">
      <alignment wrapText="1"/>
    </xf>
    <xf numFmtId="0" fontId="12" fillId="0" borderId="0" xfId="21"/>
    <xf numFmtId="166" fontId="12" fillId="0" borderId="0" xfId="24" applyNumberFormat="1" applyFont="1" applyFill="1" applyAlignment="1">
      <alignment vertical="center"/>
    </xf>
    <xf numFmtId="0" fontId="14" fillId="2" borderId="62" xfId="21" applyFont="1" applyFill="1" applyBorder="1" applyAlignment="1">
      <alignment horizontal="center" vertical="center"/>
    </xf>
    <xf numFmtId="0" fontId="14" fillId="2" borderId="63" xfId="21" applyFont="1" applyFill="1" applyBorder="1" applyAlignment="1">
      <alignment horizontal="center" vertical="center"/>
    </xf>
    <xf numFmtId="0" fontId="14" fillId="2" borderId="67" xfId="21" applyFont="1" applyFill="1" applyBorder="1" applyAlignment="1">
      <alignment horizontal="center" vertical="center"/>
    </xf>
    <xf numFmtId="0" fontId="14" fillId="2" borderId="0" xfId="21" applyFont="1" applyFill="1" applyAlignment="1">
      <alignment horizontal="center" vertical="center"/>
    </xf>
    <xf numFmtId="0" fontId="14" fillId="2" borderId="69" xfId="21" applyFont="1" applyFill="1" applyBorder="1" applyAlignment="1">
      <alignment horizontal="center" vertical="center"/>
    </xf>
    <xf numFmtId="0" fontId="14" fillId="2" borderId="48" xfId="21" applyFont="1" applyFill="1" applyBorder="1" applyAlignment="1">
      <alignment horizontal="center" vertical="center"/>
    </xf>
    <xf numFmtId="0" fontId="14" fillId="2" borderId="0" xfId="21" applyFont="1" applyFill="1" applyAlignment="1">
      <alignment vertical="center"/>
    </xf>
    <xf numFmtId="164" fontId="12" fillId="2" borderId="45" xfId="21" applyNumberFormat="1" applyFill="1" applyBorder="1" applyAlignment="1">
      <alignment horizontal="right" vertical="center"/>
    </xf>
    <xf numFmtId="164" fontId="12" fillId="2" borderId="57" xfId="21" applyNumberFormat="1" applyFill="1" applyBorder="1" applyAlignment="1">
      <alignment horizontal="right" vertical="center"/>
    </xf>
    <xf numFmtId="164" fontId="12" fillId="2" borderId="73" xfId="21" applyNumberFormat="1" applyFill="1" applyBorder="1" applyAlignment="1">
      <alignment horizontal="right" vertical="center"/>
    </xf>
    <xf numFmtId="164" fontId="12" fillId="2" borderId="68" xfId="21" applyNumberFormat="1" applyFill="1" applyBorder="1" applyAlignment="1">
      <alignment horizontal="right" vertical="center"/>
    </xf>
    <xf numFmtId="0" fontId="14" fillId="2" borderId="72" xfId="21" applyFont="1" applyFill="1" applyBorder="1" applyAlignment="1">
      <alignment vertical="center"/>
    </xf>
    <xf numFmtId="0" fontId="14" fillId="2" borderId="54" xfId="21" applyFont="1" applyFill="1" applyBorder="1" applyAlignment="1">
      <alignment vertical="center"/>
    </xf>
    <xf numFmtId="164" fontId="12" fillId="2" borderId="74" xfId="21" applyNumberFormat="1" applyFill="1" applyBorder="1" applyAlignment="1">
      <alignment horizontal="right" vertical="center"/>
    </xf>
    <xf numFmtId="164" fontId="12" fillId="2" borderId="75" xfId="21" applyNumberFormat="1" applyFill="1" applyBorder="1" applyAlignment="1">
      <alignment horizontal="right" vertical="center"/>
    </xf>
    <xf numFmtId="0" fontId="14" fillId="2" borderId="67" xfId="21" applyFont="1" applyFill="1" applyBorder="1" applyAlignment="1">
      <alignment vertical="center"/>
    </xf>
    <xf numFmtId="0" fontId="14" fillId="2" borderId="69" xfId="21" applyFont="1" applyFill="1" applyBorder="1" applyAlignment="1">
      <alignment vertical="center"/>
    </xf>
    <xf numFmtId="0" fontId="14" fillId="2" borderId="48" xfId="21" applyFont="1" applyFill="1" applyBorder="1" applyAlignment="1">
      <alignment vertical="center"/>
    </xf>
    <xf numFmtId="164" fontId="12" fillId="2" borderId="49" xfId="21" applyNumberFormat="1" applyFill="1" applyBorder="1" applyAlignment="1">
      <alignment horizontal="right" vertical="center"/>
    </xf>
    <xf numFmtId="164" fontId="12" fillId="2" borderId="70" xfId="21" applyNumberFormat="1" applyFill="1" applyBorder="1" applyAlignment="1">
      <alignment horizontal="right" vertical="center"/>
    </xf>
    <xf numFmtId="164" fontId="12" fillId="2" borderId="71" xfId="21" applyNumberFormat="1" applyFill="1" applyBorder="1" applyAlignment="1">
      <alignment horizontal="right" vertical="center"/>
    </xf>
    <xf numFmtId="164" fontId="12" fillId="2" borderId="45" xfId="21" applyNumberFormat="1" applyFill="1" applyBorder="1" applyAlignment="1">
      <alignment vertical="center"/>
    </xf>
    <xf numFmtId="164" fontId="12" fillId="2" borderId="57" xfId="21" applyNumberFormat="1" applyFill="1" applyBorder="1" applyAlignment="1">
      <alignment vertical="center"/>
    </xf>
    <xf numFmtId="164" fontId="12" fillId="2" borderId="45" xfId="25" applyNumberFormat="1" applyFont="1" applyFill="1" applyBorder="1" applyAlignment="1">
      <alignment horizontal="right" vertical="center"/>
    </xf>
    <xf numFmtId="164" fontId="12" fillId="2" borderId="57" xfId="25" applyNumberFormat="1" applyFont="1" applyFill="1" applyBorder="1" applyAlignment="1">
      <alignment horizontal="right" vertical="center"/>
    </xf>
    <xf numFmtId="0" fontId="17" fillId="2" borderId="0" xfId="21" applyFont="1" applyFill="1" applyAlignment="1">
      <alignment vertical="center"/>
    </xf>
    <xf numFmtId="164" fontId="12" fillId="2" borderId="78" xfId="21" applyNumberFormat="1" applyFill="1" applyBorder="1" applyAlignment="1">
      <alignment horizontal="right" vertical="center"/>
    </xf>
    <xf numFmtId="164" fontId="12" fillId="2" borderId="77" xfId="21" applyNumberFormat="1" applyFill="1" applyBorder="1" applyAlignment="1">
      <alignment horizontal="right" vertical="center"/>
    </xf>
    <xf numFmtId="164" fontId="12" fillId="2" borderId="79" xfId="21" applyNumberFormat="1" applyFill="1" applyBorder="1" applyAlignment="1">
      <alignment horizontal="right" vertical="center"/>
    </xf>
    <xf numFmtId="164" fontId="12" fillId="0" borderId="45" xfId="21" applyNumberFormat="1" applyBorder="1" applyAlignment="1">
      <alignment horizontal="right" vertical="center"/>
    </xf>
    <xf numFmtId="164" fontId="12" fillId="0" borderId="57" xfId="21" applyNumberFormat="1" applyBorder="1" applyAlignment="1">
      <alignment horizontal="right" vertical="center"/>
    </xf>
    <xf numFmtId="164" fontId="12" fillId="0" borderId="84" xfId="21" applyNumberFormat="1" applyBorder="1" applyAlignment="1">
      <alignment horizontal="right" vertical="center"/>
    </xf>
    <xf numFmtId="164" fontId="12" fillId="0" borderId="82" xfId="21" applyNumberFormat="1" applyBorder="1" applyAlignment="1">
      <alignment horizontal="right" vertical="center"/>
    </xf>
    <xf numFmtId="164" fontId="12" fillId="0" borderId="74" xfId="21" applyNumberFormat="1" applyBorder="1" applyAlignment="1">
      <alignment horizontal="right" vertical="center"/>
    </xf>
    <xf numFmtId="164" fontId="12" fillId="0" borderId="75" xfId="21" applyNumberFormat="1" applyBorder="1" applyAlignment="1">
      <alignment horizontal="right" vertical="center"/>
    </xf>
    <xf numFmtId="164" fontId="12" fillId="0" borderId="49" xfId="21" applyNumberFormat="1" applyBorder="1" applyAlignment="1">
      <alignment horizontal="right" vertical="center"/>
    </xf>
    <xf numFmtId="164" fontId="12" fillId="0" borderId="70" xfId="21" applyNumberFormat="1" applyBorder="1" applyAlignment="1">
      <alignment horizontal="right" vertical="center"/>
    </xf>
    <xf numFmtId="164" fontId="12" fillId="0" borderId="83" xfId="21" applyNumberFormat="1" applyBorder="1" applyAlignment="1">
      <alignment horizontal="right" vertical="center"/>
    </xf>
    <xf numFmtId="164" fontId="12" fillId="0" borderId="45" xfId="25" applyNumberFormat="1" applyFont="1" applyFill="1" applyBorder="1" applyAlignment="1">
      <alignment horizontal="right" vertical="center"/>
    </xf>
    <xf numFmtId="164" fontId="12" fillId="0" borderId="57" xfId="25" applyNumberFormat="1" applyFont="1" applyFill="1" applyBorder="1" applyAlignment="1">
      <alignment horizontal="right" vertical="center"/>
    </xf>
    <xf numFmtId="0" fontId="14" fillId="0" borderId="85" xfId="21" applyFont="1" applyBorder="1" applyAlignment="1">
      <alignment vertical="center"/>
    </xf>
    <xf numFmtId="0" fontId="17" fillId="0" borderId="0" xfId="21" applyFont="1" applyAlignment="1">
      <alignment vertical="center"/>
    </xf>
    <xf numFmtId="164" fontId="12" fillId="0" borderId="78" xfId="21" applyNumberFormat="1" applyBorder="1" applyAlignment="1">
      <alignment horizontal="right" vertical="center"/>
    </xf>
    <xf numFmtId="164" fontId="12" fillId="0" borderId="87" xfId="21" applyNumberFormat="1" applyBorder="1" applyAlignment="1">
      <alignment horizontal="right" vertical="center"/>
    </xf>
    <xf numFmtId="164" fontId="12" fillId="0" borderId="89" xfId="21" applyNumberFormat="1" applyBorder="1" applyAlignment="1">
      <alignment horizontal="right" vertical="center"/>
    </xf>
    <xf numFmtId="164" fontId="12" fillId="0" borderId="90" xfId="21" applyNumberFormat="1" applyBorder="1" applyAlignment="1">
      <alignment horizontal="right" vertical="center"/>
    </xf>
    <xf numFmtId="164" fontId="12" fillId="0" borderId="91" xfId="21" applyNumberFormat="1" applyBorder="1" applyAlignment="1">
      <alignment horizontal="right" vertical="center"/>
    </xf>
    <xf numFmtId="164" fontId="12" fillId="0" borderId="92" xfId="21" applyNumberFormat="1" applyBorder="1" applyAlignment="1">
      <alignment horizontal="right" vertical="center"/>
    </xf>
    <xf numFmtId="0" fontId="14" fillId="2" borderId="0" xfId="0" applyFont="1" applyFill="1" applyAlignment="1">
      <alignment horizontal="left" vertical="center" wrapText="1"/>
    </xf>
    <xf numFmtId="164" fontId="12" fillId="2" borderId="0" xfId="21" applyNumberFormat="1" applyFill="1" applyAlignment="1">
      <alignment horizontal="right" vertical="center"/>
    </xf>
    <xf numFmtId="0" fontId="12" fillId="0" borderId="0" xfId="0" applyFont="1"/>
    <xf numFmtId="0" fontId="3" fillId="0" borderId="0" xfId="6" applyAlignment="1" applyProtection="1"/>
    <xf numFmtId="0" fontId="14" fillId="0" borderId="0" xfId="0" applyFont="1"/>
    <xf numFmtId="164" fontId="0" fillId="0" borderId="0" xfId="0" applyNumberFormat="1"/>
    <xf numFmtId="49" fontId="12" fillId="0" borderId="0" xfId="21" applyNumberFormat="1" applyAlignment="1">
      <alignment horizontal="left" vertical="top" wrapText="1"/>
    </xf>
    <xf numFmtId="0" fontId="12" fillId="0" borderId="57" xfId="21" applyBorder="1" applyAlignment="1">
      <alignment horizontal="center" vertical="center"/>
    </xf>
    <xf numFmtId="0" fontId="14" fillId="0" borderId="93" xfId="21" applyFont="1" applyBorder="1" applyAlignment="1">
      <alignment horizontal="left" wrapText="1"/>
    </xf>
    <xf numFmtId="41" fontId="14" fillId="0" borderId="42" xfId="21" applyNumberFormat="1" applyFont="1" applyBorder="1" applyAlignment="1">
      <alignment horizontal="right" wrapText="1"/>
    </xf>
    <xf numFmtId="41" fontId="14" fillId="0" borderId="94" xfId="21" applyNumberFormat="1" applyFont="1" applyBorder="1" applyAlignment="1">
      <alignment horizontal="right" wrapText="1"/>
    </xf>
    <xf numFmtId="41" fontId="14" fillId="0" borderId="95" xfId="21" applyNumberFormat="1" applyFont="1" applyBorder="1" applyAlignment="1">
      <alignment horizontal="right" wrapText="1"/>
    </xf>
    <xf numFmtId="0" fontId="14" fillId="0" borderId="96" xfId="21" applyFont="1" applyBorder="1" applyAlignment="1">
      <alignment vertical="center" wrapText="1"/>
    </xf>
    <xf numFmtId="0" fontId="12" fillId="0" borderId="74" xfId="21" applyBorder="1" applyAlignment="1">
      <alignment horizontal="center" vertical="center"/>
    </xf>
    <xf numFmtId="41" fontId="14" fillId="0" borderId="57" xfId="21" applyNumberFormat="1" applyFont="1" applyBorder="1" applyAlignment="1">
      <alignment horizontal="center" vertical="center" wrapText="1"/>
    </xf>
    <xf numFmtId="0" fontId="12" fillId="0" borderId="53" xfId="21" applyBorder="1" applyAlignment="1">
      <alignment horizontal="center" vertical="center"/>
    </xf>
    <xf numFmtId="0" fontId="12" fillId="0" borderId="97" xfId="21" applyBorder="1" applyAlignment="1">
      <alignment vertical="center"/>
    </xf>
    <xf numFmtId="41" fontId="12" fillId="0" borderId="45" xfId="21" applyNumberFormat="1" applyBorder="1" applyAlignment="1">
      <alignment horizontal="right" vertical="center"/>
    </xf>
    <xf numFmtId="41" fontId="12" fillId="0" borderId="57" xfId="21" applyNumberFormat="1" applyBorder="1" applyAlignment="1">
      <alignment horizontal="right" vertical="center"/>
    </xf>
    <xf numFmtId="41" fontId="12" fillId="0" borderId="82" xfId="21" applyNumberFormat="1" applyBorder="1" applyAlignment="1">
      <alignment horizontal="right" vertical="center"/>
    </xf>
    <xf numFmtId="0" fontId="14" fillId="3" borderId="97" xfId="21" applyFont="1" applyFill="1" applyBorder="1" applyAlignment="1">
      <alignment vertical="center"/>
    </xf>
    <xf numFmtId="41" fontId="12" fillId="3" borderId="49" xfId="21" applyNumberFormat="1" applyFill="1" applyBorder="1" applyAlignment="1">
      <alignment horizontal="right" vertical="center"/>
    </xf>
    <xf numFmtId="41" fontId="12" fillId="3" borderId="70" xfId="21" applyNumberFormat="1" applyFill="1" applyBorder="1" applyAlignment="1">
      <alignment horizontal="right" vertical="center"/>
    </xf>
    <xf numFmtId="41" fontId="12" fillId="3" borderId="83" xfId="21" applyNumberFormat="1" applyFill="1" applyBorder="1" applyAlignment="1">
      <alignment horizontal="right" vertical="center"/>
    </xf>
    <xf numFmtId="0" fontId="14" fillId="0" borderId="96" xfId="21" applyFont="1" applyBorder="1" applyAlignment="1">
      <alignment vertical="center"/>
    </xf>
    <xf numFmtId="41" fontId="12" fillId="0" borderId="74" xfId="21" applyNumberFormat="1" applyBorder="1" applyAlignment="1">
      <alignment horizontal="right" vertical="center"/>
    </xf>
    <xf numFmtId="41" fontId="12" fillId="0" borderId="46" xfId="21" applyNumberFormat="1" applyBorder="1" applyAlignment="1">
      <alignment horizontal="right" vertical="center"/>
    </xf>
    <xf numFmtId="0" fontId="14" fillId="3" borderId="98" xfId="21" applyFont="1" applyFill="1" applyBorder="1" applyAlignment="1">
      <alignment vertical="center"/>
    </xf>
    <xf numFmtId="0" fontId="14" fillId="0" borderId="97" xfId="21" applyFont="1" applyBorder="1" applyAlignment="1">
      <alignment vertical="center"/>
    </xf>
    <xf numFmtId="41" fontId="12" fillId="0" borderId="53" xfId="21" applyNumberFormat="1" applyBorder="1" applyAlignment="1">
      <alignment horizontal="right" vertical="center"/>
    </xf>
    <xf numFmtId="41" fontId="12" fillId="0" borderId="45" xfId="21" applyNumberFormat="1" applyBorder="1" applyAlignment="1">
      <alignment vertical="center"/>
    </xf>
    <xf numFmtId="41" fontId="12" fillId="0" borderId="57" xfId="21" applyNumberFormat="1" applyBorder="1" applyAlignment="1">
      <alignment vertical="center"/>
    </xf>
    <xf numFmtId="41" fontId="12" fillId="0" borderId="45" xfId="1" applyNumberFormat="1" applyFont="1" applyFill="1" applyBorder="1" applyAlignment="1">
      <alignment horizontal="right" vertical="center"/>
    </xf>
    <xf numFmtId="41" fontId="12" fillId="0" borderId="57" xfId="1" applyNumberFormat="1" applyFont="1" applyFill="1" applyBorder="1" applyAlignment="1">
      <alignment horizontal="right" vertical="center"/>
    </xf>
    <xf numFmtId="0" fontId="14" fillId="4" borderId="91" xfId="0" applyFont="1" applyFill="1" applyBorder="1" applyAlignment="1">
      <alignment vertical="center" wrapText="1"/>
    </xf>
    <xf numFmtId="41" fontId="12" fillId="4" borderId="78" xfId="21" applyNumberFormat="1" applyFill="1" applyBorder="1" applyAlignment="1">
      <alignment horizontal="right" vertical="center"/>
    </xf>
    <xf numFmtId="41" fontId="12" fillId="4" borderId="77" xfId="21" applyNumberFormat="1" applyFill="1" applyBorder="1" applyAlignment="1">
      <alignment horizontal="right" vertical="center"/>
    </xf>
    <xf numFmtId="41" fontId="12" fillId="4" borderId="79" xfId="21" applyNumberFormat="1" applyFill="1" applyBorder="1" applyAlignment="1">
      <alignment horizontal="right" vertical="center"/>
    </xf>
    <xf numFmtId="0" fontId="0" fillId="0" borderId="63" xfId="0" applyBorder="1"/>
    <xf numFmtId="49" fontId="12" fillId="0" borderId="0" xfId="21" applyNumberFormat="1" applyAlignment="1">
      <alignment horizontal="left" vertical="top"/>
    </xf>
    <xf numFmtId="0" fontId="19" fillId="0" borderId="93" xfId="21" applyFont="1" applyBorder="1" applyAlignment="1">
      <alignment horizontal="left" wrapText="1"/>
    </xf>
    <xf numFmtId="41" fontId="19" fillId="0" borderId="42" xfId="21" applyNumberFormat="1" applyFont="1" applyBorder="1" applyAlignment="1">
      <alignment horizontal="right" wrapText="1"/>
    </xf>
    <xf numFmtId="41" fontId="19" fillId="0" borderId="94" xfId="21" applyNumberFormat="1" applyFont="1" applyBorder="1" applyAlignment="1">
      <alignment horizontal="right" wrapText="1"/>
    </xf>
    <xf numFmtId="41" fontId="19" fillId="0" borderId="95" xfId="21" applyNumberFormat="1" applyFont="1" applyBorder="1" applyAlignment="1">
      <alignment horizontal="right" wrapText="1"/>
    </xf>
    <xf numFmtId="0" fontId="19" fillId="0" borderId="96" xfId="21" applyFont="1" applyBorder="1" applyAlignment="1">
      <alignment vertical="center" wrapText="1"/>
    </xf>
    <xf numFmtId="0" fontId="20" fillId="0" borderId="74" xfId="21" applyFont="1" applyBorder="1" applyAlignment="1">
      <alignment horizontal="center" vertical="center"/>
    </xf>
    <xf numFmtId="0" fontId="20" fillId="0" borderId="57" xfId="21" applyFont="1" applyBorder="1" applyAlignment="1">
      <alignment horizontal="center" vertical="center"/>
    </xf>
    <xf numFmtId="41" fontId="19" fillId="0" borderId="57" xfId="21" applyNumberFormat="1" applyFont="1" applyBorder="1" applyAlignment="1">
      <alignment horizontal="center" vertical="center" wrapText="1"/>
    </xf>
    <xf numFmtId="0" fontId="20" fillId="0" borderId="53" xfId="21" applyFont="1" applyBorder="1" applyAlignment="1">
      <alignment horizontal="center" vertical="center"/>
    </xf>
    <xf numFmtId="0" fontId="20" fillId="0" borderId="97" xfId="21" applyFont="1" applyBorder="1" applyAlignment="1">
      <alignment vertical="center"/>
    </xf>
    <xf numFmtId="41" fontId="20" fillId="0" borderId="45" xfId="21" applyNumberFormat="1" applyFont="1" applyBorder="1" applyAlignment="1">
      <alignment horizontal="right" vertical="center"/>
    </xf>
    <xf numFmtId="41" fontId="20" fillId="0" borderId="57" xfId="21" applyNumberFormat="1" applyFont="1" applyBorder="1" applyAlignment="1">
      <alignment horizontal="right" vertical="center"/>
    </xf>
    <xf numFmtId="41" fontId="20" fillId="0" borderId="82" xfId="21" applyNumberFormat="1" applyFont="1" applyBorder="1" applyAlignment="1">
      <alignment horizontal="right" vertical="center"/>
    </xf>
    <xf numFmtId="0" fontId="19" fillId="3" borderId="97" xfId="21" applyFont="1" applyFill="1" applyBorder="1" applyAlignment="1">
      <alignment vertical="center"/>
    </xf>
    <xf numFmtId="41" fontId="20" fillId="3" borderId="49" xfId="21" applyNumberFormat="1" applyFont="1" applyFill="1" applyBorder="1" applyAlignment="1">
      <alignment horizontal="right" vertical="center"/>
    </xf>
    <xf numFmtId="41" fontId="20" fillId="3" borderId="70" xfId="21" applyNumberFormat="1" applyFont="1" applyFill="1" applyBorder="1" applyAlignment="1">
      <alignment horizontal="right" vertical="center"/>
    </xf>
    <xf numFmtId="41" fontId="20" fillId="6" borderId="70" xfId="21" applyNumberFormat="1" applyFont="1" applyFill="1" applyBorder="1" applyAlignment="1">
      <alignment horizontal="right" vertical="center"/>
    </xf>
    <xf numFmtId="41" fontId="20" fillId="6" borderId="83" xfId="21" applyNumberFormat="1" applyFont="1" applyFill="1" applyBorder="1" applyAlignment="1">
      <alignment horizontal="right" vertical="center"/>
    </xf>
    <xf numFmtId="0" fontId="19" fillId="0" borderId="96" xfId="21" applyFont="1" applyBorder="1" applyAlignment="1">
      <alignment vertical="center"/>
    </xf>
    <xf numFmtId="41" fontId="20" fillId="0" borderId="74" xfId="21" applyNumberFormat="1" applyFont="1" applyBorder="1" applyAlignment="1">
      <alignment horizontal="right" vertical="center"/>
    </xf>
    <xf numFmtId="0" fontId="19" fillId="3" borderId="98" xfId="21" applyFont="1" applyFill="1" applyBorder="1" applyAlignment="1">
      <alignment vertical="center"/>
    </xf>
    <xf numFmtId="41" fontId="20" fillId="7" borderId="70" xfId="21" applyNumberFormat="1" applyFont="1" applyFill="1" applyBorder="1" applyAlignment="1">
      <alignment horizontal="right" vertical="center"/>
    </xf>
    <xf numFmtId="41" fontId="20" fillId="3" borderId="83" xfId="21" applyNumberFormat="1" applyFont="1" applyFill="1" applyBorder="1" applyAlignment="1">
      <alignment horizontal="right" vertical="center"/>
    </xf>
    <xf numFmtId="0" fontId="19" fillId="0" borderId="97" xfId="21" applyFont="1" applyBorder="1" applyAlignment="1">
      <alignment vertical="center"/>
    </xf>
    <xf numFmtId="41" fontId="20" fillId="0" borderId="53" xfId="21" applyNumberFormat="1" applyFont="1" applyBorder="1" applyAlignment="1">
      <alignment horizontal="right" vertical="center"/>
    </xf>
    <xf numFmtId="41" fontId="20" fillId="0" borderId="45" xfId="21" applyNumberFormat="1" applyFont="1" applyBorder="1" applyAlignment="1">
      <alignment vertical="center"/>
    </xf>
    <xf numFmtId="41" fontId="20" fillId="0" borderId="57" xfId="21" applyNumberFormat="1" applyFont="1" applyBorder="1" applyAlignment="1">
      <alignment vertical="center"/>
    </xf>
    <xf numFmtId="41" fontId="20" fillId="0" borderId="45" xfId="1" applyNumberFormat="1" applyFont="1" applyFill="1" applyBorder="1" applyAlignment="1">
      <alignment horizontal="right" vertical="center"/>
    </xf>
    <xf numFmtId="41" fontId="20" fillId="0" borderId="57" xfId="1" applyNumberFormat="1" applyFont="1" applyFill="1" applyBorder="1" applyAlignment="1">
      <alignment horizontal="right" vertical="center"/>
    </xf>
    <xf numFmtId="0" fontId="19" fillId="4" borderId="91" xfId="0" applyFont="1" applyFill="1" applyBorder="1" applyAlignment="1">
      <alignment vertical="center" wrapText="1"/>
    </xf>
    <xf numFmtId="41" fontId="20" fillId="4" borderId="78" xfId="21" applyNumberFormat="1" applyFont="1" applyFill="1" applyBorder="1" applyAlignment="1">
      <alignment horizontal="right" vertical="center"/>
    </xf>
    <xf numFmtId="41" fontId="20" fillId="4" borderId="77" xfId="21" applyNumberFormat="1" applyFont="1" applyFill="1" applyBorder="1" applyAlignment="1">
      <alignment horizontal="right" vertical="center"/>
    </xf>
    <xf numFmtId="41" fontId="20" fillId="4" borderId="79" xfId="21" applyNumberFormat="1" applyFont="1" applyFill="1" applyBorder="1" applyAlignment="1">
      <alignment horizontal="right" vertical="center"/>
    </xf>
    <xf numFmtId="41" fontId="20" fillId="0" borderId="46" xfId="21" applyNumberFormat="1" applyFont="1" applyBorder="1" applyAlignment="1">
      <alignment horizontal="right" vertical="center"/>
    </xf>
    <xf numFmtId="41" fontId="20" fillId="0" borderId="45" xfId="27" applyNumberFormat="1" applyFont="1" applyBorder="1" applyAlignment="1">
      <alignment horizontal="right" vertical="center"/>
    </xf>
    <xf numFmtId="41" fontId="20" fillId="0" borderId="57" xfId="27" applyNumberFormat="1" applyFont="1" applyBorder="1" applyAlignment="1">
      <alignment horizontal="right" vertical="center"/>
    </xf>
    <xf numFmtId="41" fontId="20" fillId="0" borderId="82" xfId="27" applyNumberFormat="1" applyFont="1" applyBorder="1" applyAlignment="1">
      <alignment horizontal="right" vertical="center"/>
    </xf>
    <xf numFmtId="41" fontId="0" fillId="0" borderId="0" xfId="0" applyNumberFormat="1"/>
    <xf numFmtId="0" fontId="20" fillId="0" borderId="45" xfId="26" applyFont="1" applyFill="1" applyBorder="1" applyAlignment="1">
      <alignment horizontal="right"/>
    </xf>
    <xf numFmtId="41" fontId="20" fillId="4" borderId="70" xfId="21" applyNumberFormat="1" applyFont="1" applyFill="1" applyBorder="1" applyAlignment="1">
      <alignment horizontal="right" vertical="center"/>
    </xf>
    <xf numFmtId="41" fontId="20" fillId="4" borderId="83" xfId="21" applyNumberFormat="1" applyFont="1" applyFill="1" applyBorder="1" applyAlignment="1">
      <alignment horizontal="right" vertical="center"/>
    </xf>
    <xf numFmtId="41" fontId="20" fillId="4" borderId="99" xfId="21" applyNumberFormat="1" applyFont="1" applyFill="1" applyBorder="1" applyAlignment="1">
      <alignment horizontal="right" vertical="center"/>
    </xf>
    <xf numFmtId="41" fontId="20" fillId="3" borderId="82" xfId="21" applyNumberFormat="1" applyFont="1" applyFill="1" applyBorder="1" applyAlignment="1">
      <alignment horizontal="right" vertical="center"/>
    </xf>
    <xf numFmtId="41" fontId="20" fillId="3" borderId="50" xfId="21" applyNumberFormat="1" applyFont="1" applyFill="1" applyBorder="1" applyAlignment="1">
      <alignment horizontal="right" vertical="center"/>
    </xf>
    <xf numFmtId="0" fontId="20" fillId="0" borderId="45" xfId="21" applyFont="1" applyBorder="1" applyAlignment="1">
      <alignment horizontal="right" vertical="center"/>
    </xf>
    <xf numFmtId="3" fontId="20" fillId="0" borderId="45" xfId="21" applyNumberFormat="1" applyFont="1" applyBorder="1" applyAlignment="1">
      <alignment horizontal="right" vertical="center"/>
    </xf>
    <xf numFmtId="0" fontId="20" fillId="0" borderId="57" xfId="21" applyFont="1" applyBorder="1" applyAlignment="1">
      <alignment horizontal="right" vertical="center"/>
    </xf>
    <xf numFmtId="3" fontId="20" fillId="0" borderId="57" xfId="21" applyNumberFormat="1" applyFont="1" applyBorder="1" applyAlignment="1">
      <alignment horizontal="right" vertical="center"/>
    </xf>
    <xf numFmtId="0" fontId="20" fillId="3" borderId="49" xfId="21" applyFont="1" applyFill="1" applyBorder="1" applyAlignment="1">
      <alignment horizontal="right" vertical="center"/>
    </xf>
    <xf numFmtId="3" fontId="20" fillId="3" borderId="49" xfId="21" applyNumberFormat="1" applyFont="1" applyFill="1" applyBorder="1" applyAlignment="1">
      <alignment horizontal="right" vertical="center"/>
    </xf>
    <xf numFmtId="0" fontId="20" fillId="3" borderId="70" xfId="21" applyFont="1" applyFill="1" applyBorder="1" applyAlignment="1">
      <alignment horizontal="right" vertical="center"/>
    </xf>
    <xf numFmtId="3" fontId="20" fillId="3" borderId="70" xfId="21" applyNumberFormat="1" applyFont="1" applyFill="1" applyBorder="1" applyAlignment="1">
      <alignment horizontal="right" vertical="center"/>
    </xf>
    <xf numFmtId="0" fontId="20" fillId="0" borderId="45" xfId="27" applyFont="1" applyBorder="1" applyAlignment="1">
      <alignment horizontal="right" vertical="center"/>
    </xf>
    <xf numFmtId="0" fontId="20" fillId="0" borderId="57" xfId="27" applyFont="1" applyBorder="1" applyAlignment="1">
      <alignment horizontal="right" vertical="center"/>
    </xf>
    <xf numFmtId="3" fontId="20" fillId="0" borderId="57" xfId="27" applyNumberFormat="1" applyFont="1" applyBorder="1" applyAlignment="1">
      <alignment horizontal="right" vertical="center"/>
    </xf>
    <xf numFmtId="0" fontId="20" fillId="0" borderId="82" xfId="21" applyFont="1" applyBorder="1" applyAlignment="1">
      <alignment horizontal="right" vertical="center"/>
    </xf>
    <xf numFmtId="3" fontId="20" fillId="0" borderId="82" xfId="21" applyNumberFormat="1" applyFont="1" applyBorder="1" applyAlignment="1">
      <alignment horizontal="right" vertical="center"/>
    </xf>
    <xf numFmtId="3" fontId="20" fillId="3" borderId="50" xfId="21" applyNumberFormat="1" applyFont="1" applyFill="1" applyBorder="1" applyAlignment="1">
      <alignment horizontal="right" vertical="center"/>
    </xf>
    <xf numFmtId="0" fontId="20" fillId="0" borderId="45" xfId="21" applyFont="1" applyBorder="1" applyAlignment="1">
      <alignment vertical="center"/>
    </xf>
    <xf numFmtId="0" fontId="20" fillId="0" borderId="57" xfId="21" applyFont="1" applyBorder="1" applyAlignment="1">
      <alignment vertical="center"/>
    </xf>
    <xf numFmtId="3" fontId="20" fillId="0" borderId="57" xfId="21" applyNumberFormat="1" applyFont="1" applyBorder="1" applyAlignment="1">
      <alignment vertical="center"/>
    </xf>
    <xf numFmtId="0" fontId="20" fillId="0" borderId="57" xfId="1" applyNumberFormat="1" applyFont="1" applyFill="1" applyBorder="1" applyAlignment="1">
      <alignment horizontal="right" vertical="center"/>
    </xf>
    <xf numFmtId="0" fontId="12" fillId="0" borderId="0" xfId="0" applyFont="1" applyAlignment="1">
      <alignment horizontal="left"/>
    </xf>
    <xf numFmtId="0" fontId="3" fillId="0" borderId="0" xfId="0" applyFont="1" applyAlignment="1">
      <alignment horizontal="left" vertical="top" indent="1"/>
    </xf>
    <xf numFmtId="0" fontId="3" fillId="0" borderId="0" xfId="0" applyFont="1" applyAlignment="1">
      <alignment horizontal="left" vertical="center" wrapText="1" indent="1"/>
    </xf>
    <xf numFmtId="0" fontId="19" fillId="0" borderId="100" xfId="21" applyFont="1" applyBorder="1" applyAlignment="1">
      <alignment horizontal="left" wrapText="1"/>
    </xf>
    <xf numFmtId="41" fontId="19" fillId="0" borderId="64" xfId="21" applyNumberFormat="1" applyFont="1" applyBorder="1" applyAlignment="1">
      <alignment horizontal="right" wrapText="1"/>
    </xf>
    <xf numFmtId="41" fontId="19" fillId="0" borderId="101" xfId="21" applyNumberFormat="1" applyFont="1" applyBorder="1" applyAlignment="1">
      <alignment horizontal="right" wrapText="1"/>
    </xf>
    <xf numFmtId="41" fontId="19" fillId="0" borderId="102" xfId="21" applyNumberFormat="1" applyFont="1" applyBorder="1" applyAlignment="1">
      <alignment horizontal="right" wrapText="1"/>
    </xf>
    <xf numFmtId="0" fontId="20" fillId="0" borderId="103" xfId="21" applyFont="1" applyBorder="1" applyAlignment="1">
      <alignment horizontal="center" vertical="center"/>
    </xf>
    <xf numFmtId="41" fontId="20" fillId="0" borderId="68" xfId="21" applyNumberFormat="1" applyFont="1" applyBorder="1" applyAlignment="1">
      <alignment horizontal="right" vertical="center"/>
    </xf>
    <xf numFmtId="3" fontId="20" fillId="3" borderId="104" xfId="21" applyNumberFormat="1" applyFont="1" applyFill="1" applyBorder="1" applyAlignment="1">
      <alignment horizontal="right" vertical="center"/>
    </xf>
    <xf numFmtId="41" fontId="20" fillId="0" borderId="103" xfId="21" applyNumberFormat="1" applyFont="1" applyBorder="1" applyAlignment="1">
      <alignment horizontal="right" vertical="center"/>
    </xf>
    <xf numFmtId="3" fontId="20" fillId="0" borderId="68" xfId="21" applyNumberFormat="1" applyFont="1" applyBorder="1" applyAlignment="1">
      <alignment horizontal="right" vertical="center"/>
    </xf>
    <xf numFmtId="0" fontId="20" fillId="0" borderId="68" xfId="21" applyFont="1" applyBorder="1" applyAlignment="1">
      <alignment horizontal="right" vertical="center"/>
    </xf>
    <xf numFmtId="0" fontId="19" fillId="4" borderId="76" xfId="0" applyFont="1" applyFill="1" applyBorder="1" applyAlignment="1">
      <alignment vertical="center" wrapText="1"/>
    </xf>
    <xf numFmtId="0" fontId="19" fillId="4" borderId="105" xfId="0" applyFont="1" applyFill="1" applyBorder="1" applyAlignment="1">
      <alignment vertical="center" wrapText="1"/>
    </xf>
    <xf numFmtId="41" fontId="20" fillId="4" borderId="101" xfId="21" applyNumberFormat="1" applyFont="1" applyFill="1" applyBorder="1" applyAlignment="1">
      <alignment horizontal="right" vertical="center"/>
    </xf>
    <xf numFmtId="41" fontId="20" fillId="4" borderId="102" xfId="21" applyNumberFormat="1" applyFont="1" applyFill="1" applyBorder="1" applyAlignment="1">
      <alignment horizontal="right" vertical="center"/>
    </xf>
    <xf numFmtId="41" fontId="20" fillId="4" borderId="106" xfId="21" applyNumberFormat="1" applyFont="1" applyFill="1" applyBorder="1" applyAlignment="1">
      <alignment horizontal="right" vertical="center"/>
    </xf>
    <xf numFmtId="41" fontId="20" fillId="4" borderId="107" xfId="21" applyNumberFormat="1" applyFont="1" applyFill="1" applyBorder="1" applyAlignment="1">
      <alignment horizontal="right" vertical="center"/>
    </xf>
    <xf numFmtId="0" fontId="14" fillId="0" borderId="86" xfId="0" applyFont="1" applyBorder="1" applyAlignment="1">
      <alignment horizontal="left" vertical="center" wrapText="1"/>
    </xf>
    <xf numFmtId="0" fontId="14" fillId="0" borderId="77" xfId="0" applyFont="1" applyBorder="1" applyAlignment="1">
      <alignment horizontal="left" vertical="center" wrapText="1"/>
    </xf>
    <xf numFmtId="0" fontId="14" fillId="0" borderId="88" xfId="0" applyFont="1" applyBorder="1" applyAlignment="1">
      <alignment horizontal="left" vertical="center" wrapText="1"/>
    </xf>
    <xf numFmtId="0" fontId="14" fillId="0" borderId="89" xfId="0" applyFont="1" applyBorder="1" applyAlignment="1">
      <alignment horizontal="left" vertical="center" wrapText="1"/>
    </xf>
    <xf numFmtId="49" fontId="12" fillId="0" borderId="0" xfId="21" applyNumberFormat="1" applyAlignment="1">
      <alignment horizontal="left" vertical="top" wrapText="1"/>
    </xf>
    <xf numFmtId="0" fontId="14" fillId="0" borderId="40" xfId="21" applyFont="1" applyBorder="1" applyAlignment="1">
      <alignment horizontal="center" vertical="center"/>
    </xf>
    <xf numFmtId="0" fontId="14" fillId="0" borderId="80" xfId="21" applyFont="1" applyBorder="1" applyAlignment="1">
      <alignment horizontal="center" vertical="center"/>
    </xf>
    <xf numFmtId="0" fontId="14" fillId="0" borderId="44" xfId="21" applyFont="1" applyBorder="1" applyAlignment="1">
      <alignment horizontal="center" vertical="center"/>
    </xf>
    <xf numFmtId="0" fontId="14" fillId="0" borderId="57" xfId="21" applyFont="1" applyBorder="1" applyAlignment="1">
      <alignment horizontal="center" vertical="center"/>
    </xf>
    <xf numFmtId="0" fontId="14" fillId="0" borderId="47" xfId="21" applyFont="1" applyBorder="1" applyAlignment="1">
      <alignment horizontal="center" vertical="center"/>
    </xf>
    <xf numFmtId="0" fontId="14" fillId="0" borderId="70" xfId="21" applyFont="1" applyBorder="1" applyAlignment="1">
      <alignment horizontal="center" vertical="center"/>
    </xf>
    <xf numFmtId="164" fontId="14" fillId="0" borderId="42" xfId="21" applyNumberFormat="1" applyFont="1" applyBorder="1" applyAlignment="1">
      <alignment horizontal="center" vertical="center"/>
    </xf>
    <xf numFmtId="0" fontId="12" fillId="0" borderId="45" xfId="21" applyBorder="1" applyAlignment="1">
      <alignment horizontal="center" vertical="center"/>
    </xf>
    <xf numFmtId="0" fontId="12" fillId="0" borderId="49" xfId="21" applyBorder="1" applyAlignment="1">
      <alignment horizontal="center" vertical="center"/>
    </xf>
    <xf numFmtId="164" fontId="14" fillId="0" borderId="80" xfId="21" applyNumberFormat="1" applyFont="1" applyBorder="1" applyAlignment="1">
      <alignment horizontal="center" vertical="center"/>
    </xf>
    <xf numFmtId="0" fontId="12" fillId="0" borderId="57" xfId="21" applyBorder="1" applyAlignment="1">
      <alignment horizontal="center" vertical="center"/>
    </xf>
    <xf numFmtId="0" fontId="12" fillId="0" borderId="70" xfId="21" applyBorder="1" applyAlignment="1">
      <alignment horizontal="center" vertical="center"/>
    </xf>
    <xf numFmtId="164" fontId="14" fillId="0" borderId="42" xfId="21" applyNumberFormat="1" applyFont="1" applyBorder="1" applyAlignment="1">
      <alignment horizontal="center" vertical="center" wrapText="1"/>
    </xf>
    <xf numFmtId="164" fontId="14" fillId="0" borderId="45" xfId="21" applyNumberFormat="1" applyFont="1" applyBorder="1" applyAlignment="1">
      <alignment horizontal="center" vertical="center" wrapText="1"/>
    </xf>
    <xf numFmtId="164" fontId="14" fillId="0" borderId="49" xfId="21" applyNumberFormat="1" applyFont="1" applyBorder="1" applyAlignment="1">
      <alignment horizontal="center" vertical="center" wrapText="1"/>
    </xf>
    <xf numFmtId="164" fontId="14" fillId="0" borderId="81" xfId="21" applyNumberFormat="1" applyFont="1" applyBorder="1" applyAlignment="1">
      <alignment horizontal="center" vertical="center"/>
    </xf>
    <xf numFmtId="0" fontId="12" fillId="0" borderId="82" xfId="21" applyBorder="1" applyAlignment="1">
      <alignment horizontal="center" vertical="center"/>
    </xf>
    <xf numFmtId="0" fontId="12" fillId="0" borderId="83" xfId="21" applyBorder="1" applyAlignment="1">
      <alignment horizontal="center" vertical="center"/>
    </xf>
    <xf numFmtId="0" fontId="14" fillId="0" borderId="51" xfId="21" applyFont="1" applyBorder="1" applyAlignment="1">
      <alignment vertical="center" wrapText="1"/>
    </xf>
    <xf numFmtId="0" fontId="14" fillId="0" borderId="44" xfId="21" applyFont="1" applyBorder="1" applyAlignment="1">
      <alignment vertical="center" wrapText="1"/>
    </xf>
    <xf numFmtId="0" fontId="14" fillId="0" borderId="47" xfId="21" applyFont="1" applyBorder="1" applyAlignment="1">
      <alignment vertical="center" wrapText="1"/>
    </xf>
    <xf numFmtId="164" fontId="14" fillId="2" borderId="66" xfId="21" applyNumberFormat="1" applyFont="1" applyFill="1" applyBorder="1" applyAlignment="1">
      <alignment horizontal="center" vertical="center"/>
    </xf>
    <xf numFmtId="0" fontId="12" fillId="2" borderId="68" xfId="21" applyFill="1" applyBorder="1" applyAlignment="1">
      <alignment horizontal="center" vertical="center"/>
    </xf>
    <xf numFmtId="0" fontId="12" fillId="2" borderId="71" xfId="21" applyFill="1" applyBorder="1" applyAlignment="1">
      <alignment horizontal="center" vertical="center"/>
    </xf>
    <xf numFmtId="0" fontId="14" fillId="2" borderId="72" xfId="21" applyFont="1" applyFill="1" applyBorder="1" applyAlignment="1">
      <alignment vertical="center" wrapText="1"/>
    </xf>
    <xf numFmtId="0" fontId="14" fillId="2" borderId="67" xfId="21" applyFont="1" applyFill="1" applyBorder="1" applyAlignment="1">
      <alignment vertical="center" wrapText="1"/>
    </xf>
    <xf numFmtId="0" fontId="14" fillId="2" borderId="69" xfId="21" applyFont="1" applyFill="1" applyBorder="1" applyAlignment="1">
      <alignment vertical="center" wrapText="1"/>
    </xf>
    <xf numFmtId="0" fontId="14" fillId="2" borderId="76" xfId="0" applyFont="1" applyFill="1" applyBorder="1" applyAlignment="1">
      <alignment horizontal="left" vertical="center" wrapText="1"/>
    </xf>
    <xf numFmtId="0" fontId="14" fillId="2" borderId="77" xfId="0" applyFont="1" applyFill="1" applyBorder="1" applyAlignment="1">
      <alignment horizontal="left" vertical="center" wrapText="1"/>
    </xf>
    <xf numFmtId="164" fontId="14" fillId="2" borderId="64" xfId="21" applyNumberFormat="1" applyFont="1" applyFill="1" applyBorder="1" applyAlignment="1">
      <alignment horizontal="center" vertical="center"/>
    </xf>
    <xf numFmtId="0" fontId="12" fillId="2" borderId="45" xfId="21" applyFill="1" applyBorder="1" applyAlignment="1">
      <alignment horizontal="center" vertical="center"/>
    </xf>
    <xf numFmtId="0" fontId="12" fillId="2" borderId="49" xfId="21" applyFill="1" applyBorder="1" applyAlignment="1">
      <alignment horizontal="center" vertical="center"/>
    </xf>
    <xf numFmtId="164" fontId="14" fillId="2" borderId="65" xfId="21" applyNumberFormat="1" applyFont="1" applyFill="1" applyBorder="1" applyAlignment="1">
      <alignment horizontal="center" vertical="center"/>
    </xf>
    <xf numFmtId="0" fontId="12" fillId="2" borderId="57" xfId="21" applyFill="1" applyBorder="1" applyAlignment="1">
      <alignment horizontal="center" vertical="center"/>
    </xf>
    <xf numFmtId="0" fontId="12" fillId="2" borderId="70" xfId="21" applyFill="1" applyBorder="1" applyAlignment="1">
      <alignment horizontal="center" vertical="center"/>
    </xf>
    <xf numFmtId="164" fontId="14" fillId="2" borderId="64" xfId="21" applyNumberFormat="1" applyFont="1" applyFill="1" applyBorder="1" applyAlignment="1">
      <alignment horizontal="center" vertical="center" wrapText="1"/>
    </xf>
    <xf numFmtId="164" fontId="14" fillId="2" borderId="45" xfId="21" applyNumberFormat="1" applyFont="1" applyFill="1" applyBorder="1" applyAlignment="1">
      <alignment horizontal="center" vertical="center" wrapText="1"/>
    </xf>
    <xf numFmtId="164" fontId="14" fillId="2" borderId="49" xfId="21" applyNumberFormat="1" applyFont="1" applyFill="1" applyBorder="1" applyAlignment="1">
      <alignment horizontal="center" vertical="center" wrapText="1"/>
    </xf>
    <xf numFmtId="164" fontId="14" fillId="0" borderId="43" xfId="21" applyNumberFormat="1" applyFont="1" applyBorder="1" applyAlignment="1">
      <alignment horizontal="center" vertical="center"/>
    </xf>
    <xf numFmtId="0" fontId="12" fillId="0" borderId="46" xfId="21" applyBorder="1" applyAlignment="1">
      <alignment horizontal="center" vertical="center"/>
    </xf>
    <xf numFmtId="0" fontId="12" fillId="0" borderId="50" xfId="21" applyBorder="1" applyAlignment="1">
      <alignment horizontal="center" vertical="center"/>
    </xf>
    <xf numFmtId="0" fontId="14" fillId="0" borderId="58" xfId="23" applyFont="1" applyBorder="1" applyAlignment="1">
      <alignment horizontal="left" vertical="center" wrapText="1"/>
    </xf>
    <xf numFmtId="0" fontId="14" fillId="0" borderId="59" xfId="23" applyFont="1" applyBorder="1" applyAlignment="1">
      <alignment horizontal="left" vertical="center" wrapText="1"/>
    </xf>
    <xf numFmtId="49" fontId="12" fillId="0" borderId="0" xfId="21" applyNumberFormat="1" applyAlignment="1">
      <alignment horizontal="left" wrapText="1"/>
    </xf>
    <xf numFmtId="0" fontId="12" fillId="0" borderId="45" xfId="21" applyBorder="1" applyAlignment="1">
      <alignment horizontal="center" vertical="center" wrapText="1"/>
    </xf>
    <xf numFmtId="0" fontId="12" fillId="0" borderId="49" xfId="21" applyBorder="1" applyAlignment="1">
      <alignment horizontal="center" vertical="center" wrapText="1"/>
    </xf>
    <xf numFmtId="167" fontId="5" fillId="0" borderId="20" xfId="13" applyNumberFormat="1" applyFont="1" applyBorder="1" applyAlignment="1">
      <alignment horizontal="center" vertical="center" wrapText="1"/>
    </xf>
    <xf numFmtId="167" fontId="5" fillId="0" borderId="21" xfId="13" applyNumberFormat="1" applyFont="1" applyBorder="1" applyAlignment="1">
      <alignment horizontal="center" vertical="center"/>
    </xf>
    <xf numFmtId="0" fontId="5" fillId="0" borderId="24" xfId="13" applyFont="1" applyBorder="1" applyAlignment="1">
      <alignment vertical="center" wrapText="1"/>
    </xf>
    <xf numFmtId="0" fontId="5" fillId="0" borderId="29" xfId="0" applyFont="1" applyBorder="1" applyAlignment="1">
      <alignment horizontal="left" vertical="center" wrapText="1"/>
    </xf>
    <xf numFmtId="167" fontId="5" fillId="0" borderId="20" xfId="13" applyNumberFormat="1" applyFont="1" applyBorder="1" applyAlignment="1">
      <alignment horizontal="center" vertical="center"/>
    </xf>
    <xf numFmtId="167" fontId="5" fillId="0" borderId="20" xfId="0" applyNumberFormat="1" applyFont="1" applyBorder="1" applyAlignment="1">
      <alignment horizontal="center" vertical="center" wrapText="1"/>
    </xf>
    <xf numFmtId="167" fontId="5" fillId="0" borderId="21" xfId="0" applyNumberFormat="1" applyFont="1" applyBorder="1" applyAlignment="1">
      <alignment horizontal="center" vertical="center"/>
    </xf>
    <xf numFmtId="0" fontId="5" fillId="0" borderId="24" xfId="0" applyFont="1" applyBorder="1" applyAlignment="1">
      <alignment vertical="center" wrapText="1"/>
    </xf>
    <xf numFmtId="167" fontId="5" fillId="0" borderId="20" xfId="0" applyNumberFormat="1" applyFont="1" applyBorder="1" applyAlignment="1">
      <alignment horizontal="center" vertical="center"/>
    </xf>
    <xf numFmtId="167" fontId="5" fillId="0" borderId="4" xfId="0" applyNumberFormat="1" applyFont="1" applyBorder="1" applyAlignment="1">
      <alignment horizontal="center" vertical="center"/>
    </xf>
    <xf numFmtId="167" fontId="5" fillId="0" borderId="3" xfId="0" applyNumberFormat="1" applyFont="1" applyBorder="1" applyAlignment="1">
      <alignment horizontal="center" vertical="center"/>
    </xf>
    <xf numFmtId="167" fontId="5" fillId="0" borderId="3" xfId="0" applyNumberFormat="1" applyFont="1" applyBorder="1" applyAlignment="1">
      <alignment horizontal="center" vertical="center" wrapText="1"/>
    </xf>
    <xf numFmtId="168" fontId="5" fillId="0" borderId="21" xfId="0" applyNumberFormat="1" applyFont="1" applyBorder="1" applyAlignment="1">
      <alignment horizontal="center" vertical="center"/>
    </xf>
    <xf numFmtId="168" fontId="5" fillId="0" borderId="20" xfId="0" applyNumberFormat="1" applyFont="1" applyBorder="1" applyAlignment="1">
      <alignment horizontal="center" vertical="center"/>
    </xf>
    <xf numFmtId="168" fontId="5" fillId="0" borderId="20" xfId="0" applyNumberFormat="1" applyFont="1" applyBorder="1" applyAlignment="1">
      <alignment horizontal="center" vertical="center" wrapText="1"/>
    </xf>
  </cellXfs>
  <cellStyles count="28">
    <cellStyle name="Comma" xfId="1" builtinId="3" customBuiltin="1"/>
    <cellStyle name="Comma 2" xfId="3" xr:uid="{00000000-0005-0000-0000-000001000000}"/>
    <cellStyle name="Comma 2 2" xfId="4" xr:uid="{00000000-0005-0000-0000-000002000000}"/>
    <cellStyle name="Comma 3" xfId="5" xr:uid="{00000000-0005-0000-0000-000003000000}"/>
    <cellStyle name="Comma 4" xfId="25" xr:uid="{00000000-0005-0000-0000-000004000000}"/>
    <cellStyle name="Good" xfId="26" builtinId="26"/>
    <cellStyle name="Hyperlink" xfId="6" xr:uid="{00000000-0005-0000-0000-000006000000}"/>
    <cellStyle name="Normal" xfId="0" builtinId="0" customBuiltin="1"/>
    <cellStyle name="Normal 2" xfId="12" xr:uid="{00000000-0005-0000-0000-000008000000}"/>
    <cellStyle name="Normal 2 2" xfId="13" xr:uid="{00000000-0005-0000-0000-000009000000}"/>
    <cellStyle name="Normal 2 2 2" xfId="21" xr:uid="{00000000-0005-0000-0000-00000A000000}"/>
    <cellStyle name="Normal 3" xfId="14" xr:uid="{00000000-0005-0000-0000-00000B000000}"/>
    <cellStyle name="Normal 3 2" xfId="22" xr:uid="{00000000-0005-0000-0000-00000C000000}"/>
    <cellStyle name="Normal 4" xfId="15" xr:uid="{00000000-0005-0000-0000-00000D000000}"/>
    <cellStyle name="Normal 5" xfId="23" xr:uid="{00000000-0005-0000-0000-00000E000000}"/>
    <cellStyle name="Normal_2006_07" xfId="7" xr:uid="{00000000-0005-0000-0000-00000F000000}"/>
    <cellStyle name="Normal_2007_08" xfId="8" xr:uid="{00000000-0005-0000-0000-000010000000}"/>
    <cellStyle name="Normal_2008_09" xfId="9" xr:uid="{00000000-0005-0000-0000-000011000000}"/>
    <cellStyle name="Normal_2009_10" xfId="10" xr:uid="{00000000-0005-0000-0000-000012000000}"/>
    <cellStyle name="Normal_2010_11" xfId="11" xr:uid="{00000000-0005-0000-0000-000013000000}"/>
    <cellStyle name="Normal_fsme" xfId="27" xr:uid="{00000000-0005-0000-0000-000014000000}"/>
    <cellStyle name="Normal_Sheet1" xfId="16" xr:uid="{00000000-0005-0000-0000-000015000000}"/>
    <cellStyle name="Normal_Sheet2" xfId="17" xr:uid="{00000000-0005-0000-0000-000016000000}"/>
    <cellStyle name="Per cent" xfId="2" builtinId="5" customBuiltin="1"/>
    <cellStyle name="Percent 2" xfId="18" xr:uid="{00000000-0005-0000-0000-000018000000}"/>
    <cellStyle name="Percent 2 2" xfId="19" xr:uid="{00000000-0005-0000-0000-000019000000}"/>
    <cellStyle name="Percent 3" xfId="20" xr:uid="{00000000-0005-0000-0000-00001A000000}"/>
    <cellStyle name="Percent 4" xfId="24" xr:uid="{00000000-0005-0000-0000-00001B000000}"/>
  </cellStyles>
  <dxfs count="5">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matthewsp\RECORDS-NI_7.1.2\Offline%20Records%20(RN)\2014%20~%20DE%20-%20Data%20Analysis%20-%20Enrolments%20-%20Statistical%20Bulletins\February%20Press%20release%20tables%201415%20suppressed%20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chool_enrolments"/>
      <sheetName val="enrolments"/>
      <sheetName val="fsme"/>
      <sheetName val="chart_3"/>
      <sheetName val="chart2"/>
      <sheetName val="chart1"/>
      <sheetName val="tab_1A"/>
      <sheetName val="tab_1B"/>
      <sheetName val="tab_2A"/>
      <sheetName val="tab_2B"/>
      <sheetName val="tab_2C"/>
      <sheetName val="tab_2D"/>
      <sheetName val="tab_3A"/>
      <sheetName val="Tab_3B"/>
      <sheetName val="Tab_4"/>
      <sheetName val="Tab_5A"/>
      <sheetName val="Tab_5B"/>
      <sheetName val="Tab_6A"/>
      <sheetName val="tab_6B"/>
      <sheetName val="tab_6C"/>
      <sheetName val="Tab_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
          <cell r="F6">
            <v>58.999999999999986</v>
          </cell>
          <cell r="G6">
            <v>696</v>
          </cell>
        </row>
        <row r="7">
          <cell r="F7">
            <v>12.999999999999996</v>
          </cell>
          <cell r="G7">
            <v>149</v>
          </cell>
        </row>
        <row r="9">
          <cell r="C9">
            <v>2612.9999999999914</v>
          </cell>
          <cell r="D9">
            <v>529.99999999999909</v>
          </cell>
          <cell r="E9">
            <v>207.00000000000011</v>
          </cell>
          <cell r="F9">
            <v>45.999999999999964</v>
          </cell>
          <cell r="G9">
            <v>1130.0000000000039</v>
          </cell>
        </row>
        <row r="11">
          <cell r="C11">
            <v>47.999999999999972</v>
          </cell>
          <cell r="D11">
            <v>3772.0000000000068</v>
          </cell>
          <cell r="E11">
            <v>24</v>
          </cell>
          <cell r="F11" t="str">
            <v>#</v>
          </cell>
          <cell r="G11" t="str">
            <v>#</v>
          </cell>
        </row>
        <row r="12">
          <cell r="C12">
            <v>40.999999999999979</v>
          </cell>
          <cell r="D12">
            <v>313.99999999999989</v>
          </cell>
          <cell r="E12">
            <v>0</v>
          </cell>
          <cell r="F12">
            <v>0</v>
          </cell>
          <cell r="G12">
            <v>41.000000000000014</v>
          </cell>
        </row>
        <row r="13">
          <cell r="C13">
            <v>41.000000000000014</v>
          </cell>
          <cell r="D13">
            <v>30.999999999999996</v>
          </cell>
          <cell r="E13" t="str">
            <v>*</v>
          </cell>
          <cell r="F13">
            <v>0</v>
          </cell>
          <cell r="G13" t="str">
            <v>#</v>
          </cell>
        </row>
        <row r="14">
          <cell r="C14">
            <v>139.0000000000002</v>
          </cell>
          <cell r="D14">
            <v>171.00000000000006</v>
          </cell>
          <cell r="E14" t="str">
            <v>#</v>
          </cell>
          <cell r="F14" t="str">
            <v>*</v>
          </cell>
          <cell r="G14">
            <v>125.99999999999987</v>
          </cell>
        </row>
      </sheetData>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census@education-n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
  <sheetViews>
    <sheetView tabSelected="1" workbookViewId="0">
      <selection activeCell="A68" sqref="A68"/>
    </sheetView>
  </sheetViews>
  <sheetFormatPr defaultRowHeight="12.75"/>
  <cols>
    <col min="1" max="1" width="9.140625" customWidth="1"/>
  </cols>
  <sheetData>
    <row r="1" spans="1:2">
      <c r="A1" t="s">
        <v>0</v>
      </c>
    </row>
    <row r="2" spans="1:2">
      <c r="A2" t="s">
        <v>1</v>
      </c>
    </row>
    <row r="3" spans="1:2">
      <c r="A3" t="s">
        <v>2</v>
      </c>
    </row>
    <row r="5" spans="1:2">
      <c r="A5" s="261" t="s">
        <v>3</v>
      </c>
      <c r="B5" s="259"/>
    </row>
    <row r="6" spans="1:2">
      <c r="A6" s="259" t="s">
        <v>4</v>
      </c>
      <c r="B6" s="259"/>
    </row>
    <row r="7" spans="1:2">
      <c r="A7" s="259" t="s">
        <v>5</v>
      </c>
      <c r="B7" s="259"/>
    </row>
    <row r="8" spans="1:2">
      <c r="A8" s="259" t="s">
        <v>6</v>
      </c>
      <c r="B8" s="259"/>
    </row>
    <row r="9" spans="1:2">
      <c r="A9" s="259" t="s">
        <v>7</v>
      </c>
      <c r="B9" s="259"/>
    </row>
    <row r="10" spans="1:2">
      <c r="A10" s="259" t="s">
        <v>8</v>
      </c>
      <c r="B10" s="259"/>
    </row>
    <row r="11" spans="1:2">
      <c r="A11" s="259"/>
      <c r="B11" s="259"/>
    </row>
    <row r="12" spans="1:2">
      <c r="A12" s="259" t="s">
        <v>9</v>
      </c>
      <c r="B12" s="259"/>
    </row>
    <row r="13" spans="1:2">
      <c r="A13" s="259"/>
      <c r="B13" s="259"/>
    </row>
    <row r="14" spans="1:2">
      <c r="A14" s="261" t="s">
        <v>10</v>
      </c>
      <c r="B14" s="259"/>
    </row>
    <row r="15" spans="1:2">
      <c r="A15" s="259" t="s">
        <v>11</v>
      </c>
      <c r="B15" s="259"/>
    </row>
    <row r="16" spans="1:2">
      <c r="A16" s="259" t="s">
        <v>12</v>
      </c>
      <c r="B16" s="259"/>
    </row>
    <row r="17" spans="1:2">
      <c r="A17" s="359" t="s">
        <v>13</v>
      </c>
      <c r="B17" s="259"/>
    </row>
    <row r="18" spans="1:2">
      <c r="A18" s="360" t="s">
        <v>14</v>
      </c>
      <c r="B18" s="361"/>
    </row>
    <row r="19" spans="1:2">
      <c r="A19" s="360"/>
      <c r="B19" s="361"/>
    </row>
    <row r="20" spans="1:2">
      <c r="A20" s="259" t="s">
        <v>15</v>
      </c>
      <c r="B20" s="259"/>
    </row>
    <row r="23" spans="1:2">
      <c r="A23" t="s">
        <v>16</v>
      </c>
    </row>
    <row r="24" spans="1:2">
      <c r="A24" s="1" t="s">
        <v>17</v>
      </c>
    </row>
    <row r="25" spans="1:2">
      <c r="A25" t="s">
        <v>18</v>
      </c>
    </row>
    <row r="26" spans="1:2">
      <c r="A26" t="s">
        <v>19</v>
      </c>
    </row>
    <row r="27" spans="1:2">
      <c r="A27" t="s">
        <v>20</v>
      </c>
    </row>
    <row r="28" spans="1:2">
      <c r="A28" s="1" t="s">
        <v>21</v>
      </c>
    </row>
    <row r="29" spans="1:2">
      <c r="A29" t="s">
        <v>22</v>
      </c>
    </row>
    <row r="30" spans="1:2">
      <c r="A30" t="s">
        <v>23</v>
      </c>
    </row>
    <row r="31" spans="1:2">
      <c r="A31" t="s">
        <v>24</v>
      </c>
    </row>
    <row r="32" spans="1:2">
      <c r="A32" s="1" t="s">
        <v>25</v>
      </c>
    </row>
    <row r="33" spans="1:1">
      <c r="A33" t="s">
        <v>26</v>
      </c>
    </row>
    <row r="34" spans="1:1">
      <c r="A34" t="s">
        <v>27</v>
      </c>
    </row>
    <row r="35" spans="1:1">
      <c r="A35" t="s">
        <v>28</v>
      </c>
    </row>
    <row r="36" spans="1:1">
      <c r="A36" t="s">
        <v>29</v>
      </c>
    </row>
    <row r="37" spans="1:1">
      <c r="A37" t="s">
        <v>30</v>
      </c>
    </row>
    <row r="38" spans="1:1">
      <c r="A38" t="s">
        <v>31</v>
      </c>
    </row>
    <row r="39" spans="1:1">
      <c r="A39" t="s">
        <v>32</v>
      </c>
    </row>
    <row r="40" spans="1:1">
      <c r="A40" s="1" t="s">
        <v>33</v>
      </c>
    </row>
    <row r="41" spans="1:1">
      <c r="A41" s="1"/>
    </row>
    <row r="42" spans="1:1">
      <c r="A42" s="1" t="s">
        <v>34</v>
      </c>
    </row>
    <row r="43" spans="1:1">
      <c r="A43" t="s">
        <v>35</v>
      </c>
    </row>
    <row r="44" spans="1:1">
      <c r="A44" t="s">
        <v>36</v>
      </c>
    </row>
    <row r="45" spans="1:1">
      <c r="A45" s="1" t="s">
        <v>37</v>
      </c>
    </row>
    <row r="46" spans="1:1">
      <c r="A46" s="1" t="s">
        <v>38</v>
      </c>
    </row>
    <row r="47" spans="1:1">
      <c r="A47" s="1" t="s">
        <v>39</v>
      </c>
    </row>
    <row r="48" spans="1:1">
      <c r="A48" s="1" t="s">
        <v>40</v>
      </c>
    </row>
    <row r="49" spans="1:5">
      <c r="A49" s="1"/>
    </row>
    <row r="50" spans="1:5">
      <c r="A50" t="s">
        <v>41</v>
      </c>
    </row>
    <row r="51" spans="1:5">
      <c r="A51" s="1"/>
    </row>
    <row r="52" spans="1:5">
      <c r="A52" t="s">
        <v>42</v>
      </c>
    </row>
    <row r="53" spans="1:5">
      <c r="A53" t="s">
        <v>43</v>
      </c>
    </row>
    <row r="54" spans="1:5" ht="10.5" customHeight="1"/>
    <row r="55" spans="1:5">
      <c r="A55" t="s">
        <v>44</v>
      </c>
    </row>
    <row r="56" spans="1:5">
      <c r="A56" t="s">
        <v>45</v>
      </c>
    </row>
    <row r="57" spans="1:5">
      <c r="A57" t="s">
        <v>46</v>
      </c>
    </row>
    <row r="58" spans="1:5">
      <c r="A58" t="s">
        <v>47</v>
      </c>
    </row>
    <row r="59" spans="1:5">
      <c r="A59" t="s">
        <v>48</v>
      </c>
    </row>
    <row r="60" spans="1:5">
      <c r="A60" t="s">
        <v>49</v>
      </c>
    </row>
    <row r="61" spans="1:5">
      <c r="A61" t="s">
        <v>50</v>
      </c>
    </row>
    <row r="62" spans="1:5">
      <c r="A62" t="s">
        <v>51</v>
      </c>
    </row>
    <row r="64" spans="1:5">
      <c r="A64" s="259"/>
      <c r="B64" s="259"/>
      <c r="C64" s="259"/>
      <c r="D64" s="259"/>
      <c r="E64" s="259"/>
    </row>
    <row r="65" spans="1:5">
      <c r="A65" s="259" t="s">
        <v>52</v>
      </c>
      <c r="B65" s="260" t="s">
        <v>53</v>
      </c>
      <c r="C65" s="259"/>
      <c r="D65" s="259"/>
      <c r="E65" s="259"/>
    </row>
    <row r="66" spans="1:5">
      <c r="A66" s="259"/>
      <c r="B66" s="259"/>
      <c r="C66" s="259"/>
      <c r="D66" s="259"/>
      <c r="E66" s="259"/>
    </row>
    <row r="67" spans="1:5">
      <c r="A67" s="261" t="s">
        <v>54</v>
      </c>
      <c r="B67" s="259"/>
      <c r="C67" s="259"/>
      <c r="D67" s="259"/>
      <c r="E67" s="259"/>
    </row>
  </sheetData>
  <hyperlinks>
    <hyperlink ref="B65" r:id="rId1" xr:uid="{00000000-0004-0000-0000-000000000000}"/>
  </hyperlinks>
  <pageMargins left="0.75000000000000011" right="0.75000000000000011" top="1" bottom="1" header="0.5" footer="0.5"/>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0334-A5C7-4D8C-984A-12DDB53F3EAA}">
  <dimension ref="A1:F60"/>
  <sheetViews>
    <sheetView workbookViewId="0">
      <selection activeCell="G7" sqref="G7"/>
    </sheetView>
  </sheetViews>
  <sheetFormatPr defaultRowHeight="12.75"/>
  <cols>
    <col min="1" max="1" width="53.85546875" customWidth="1"/>
    <col min="4" max="4" width="15" customWidth="1"/>
  </cols>
  <sheetData>
    <row r="1" spans="1:6" ht="18">
      <c r="A1" s="168" t="s">
        <v>55</v>
      </c>
      <c r="B1" s="168"/>
      <c r="C1" s="169"/>
      <c r="D1" s="169"/>
      <c r="E1" s="169"/>
      <c r="F1" s="169"/>
    </row>
    <row r="2" spans="1:6" ht="18">
      <c r="A2" s="168" t="s">
        <v>56</v>
      </c>
      <c r="B2" s="168"/>
      <c r="C2" s="169"/>
      <c r="D2" s="169"/>
      <c r="E2" s="169"/>
      <c r="F2" s="169"/>
    </row>
    <row r="3" spans="1:6" ht="13.5" thickBot="1"/>
    <row r="4" spans="1:6" ht="63.75">
      <c r="A4" s="362" t="s">
        <v>57</v>
      </c>
      <c r="B4" s="363" t="s">
        <v>58</v>
      </c>
      <c r="C4" s="364" t="s">
        <v>59</v>
      </c>
      <c r="D4" s="364" t="s">
        <v>60</v>
      </c>
      <c r="E4" s="365" t="s">
        <v>61</v>
      </c>
    </row>
    <row r="5" spans="1:6" ht="13.5" customHeight="1">
      <c r="A5" s="301" t="s">
        <v>62</v>
      </c>
      <c r="B5" s="302"/>
      <c r="C5" s="303"/>
      <c r="D5" s="304"/>
      <c r="E5" s="366"/>
    </row>
    <row r="6" spans="1:6">
      <c r="A6" s="306" t="s">
        <v>63</v>
      </c>
      <c r="B6" s="342">
        <v>1327</v>
      </c>
      <c r="C6" s="344">
        <v>2800</v>
      </c>
      <c r="D6" s="344">
        <v>1325</v>
      </c>
      <c r="E6" s="367">
        <v>5452</v>
      </c>
    </row>
    <row r="7" spans="1:6">
      <c r="A7" s="306" t="s">
        <v>64</v>
      </c>
      <c r="B7" s="341">
        <v>263</v>
      </c>
      <c r="C7" s="343">
        <v>288</v>
      </c>
      <c r="D7" s="343">
        <v>377</v>
      </c>
      <c r="E7" s="367">
        <v>928</v>
      </c>
    </row>
    <row r="8" spans="1:6">
      <c r="A8" s="310" t="s">
        <v>65</v>
      </c>
      <c r="B8" s="346">
        <v>1590</v>
      </c>
      <c r="C8" s="346">
        <v>3088</v>
      </c>
      <c r="D8" s="346">
        <v>1702</v>
      </c>
      <c r="E8" s="368">
        <v>6380</v>
      </c>
    </row>
    <row r="9" spans="1:6">
      <c r="A9" s="315" t="s">
        <v>66</v>
      </c>
      <c r="B9" s="316"/>
      <c r="C9" s="308"/>
      <c r="D9" s="316"/>
      <c r="E9" s="367"/>
    </row>
    <row r="10" spans="1:6">
      <c r="A10" s="306" t="s">
        <v>67</v>
      </c>
      <c r="B10" s="342">
        <v>1387</v>
      </c>
      <c r="C10" s="342">
        <v>906</v>
      </c>
      <c r="D10" s="344">
        <v>1120</v>
      </c>
      <c r="E10" s="367">
        <v>3413</v>
      </c>
    </row>
    <row r="11" spans="1:6">
      <c r="A11" s="306" t="s">
        <v>68</v>
      </c>
      <c r="B11" s="349">
        <v>39</v>
      </c>
      <c r="C11" s="351">
        <v>1387</v>
      </c>
      <c r="D11" s="350">
        <v>291</v>
      </c>
      <c r="E11" s="367">
        <v>1717</v>
      </c>
    </row>
    <row r="12" spans="1:6">
      <c r="A12" s="306" t="s">
        <v>69</v>
      </c>
      <c r="B12" s="341">
        <v>128</v>
      </c>
      <c r="C12" s="343">
        <v>83</v>
      </c>
      <c r="D12" s="343">
        <v>189</v>
      </c>
      <c r="E12" s="367">
        <v>400</v>
      </c>
    </row>
    <row r="13" spans="1:6">
      <c r="A13" s="317" t="s">
        <v>65</v>
      </c>
      <c r="B13" s="346">
        <v>1554</v>
      </c>
      <c r="C13" s="346">
        <v>2376</v>
      </c>
      <c r="D13" s="346">
        <v>1600</v>
      </c>
      <c r="E13" s="368">
        <v>5530</v>
      </c>
    </row>
    <row r="14" spans="1:6">
      <c r="A14" s="320" t="s">
        <v>70</v>
      </c>
      <c r="B14" s="307"/>
      <c r="C14" s="308"/>
      <c r="D14" s="308"/>
      <c r="E14" s="369"/>
    </row>
    <row r="15" spans="1:6">
      <c r="A15" s="306" t="s">
        <v>67</v>
      </c>
      <c r="B15" s="342">
        <v>1843</v>
      </c>
      <c r="C15" s="343">
        <v>557</v>
      </c>
      <c r="D15" s="344">
        <v>2023</v>
      </c>
      <c r="E15" s="370">
        <v>4423</v>
      </c>
    </row>
    <row r="16" spans="1:6">
      <c r="A16" s="306" t="s">
        <v>68</v>
      </c>
      <c r="B16" s="341">
        <v>61</v>
      </c>
      <c r="C16" s="344">
        <v>3356</v>
      </c>
      <c r="D16" s="343">
        <v>395</v>
      </c>
      <c r="E16" s="370">
        <v>3812</v>
      </c>
    </row>
    <row r="17" spans="1:5">
      <c r="A17" s="306" t="s">
        <v>71</v>
      </c>
      <c r="B17" s="341">
        <v>26</v>
      </c>
      <c r="C17" s="343">
        <v>487</v>
      </c>
      <c r="D17" s="343">
        <v>89</v>
      </c>
      <c r="E17" s="370">
        <v>602</v>
      </c>
    </row>
    <row r="18" spans="1:5">
      <c r="A18" s="306" t="s">
        <v>69</v>
      </c>
      <c r="B18" s="341">
        <v>62</v>
      </c>
      <c r="C18" s="343">
        <v>113</v>
      </c>
      <c r="D18" s="343">
        <v>106</v>
      </c>
      <c r="E18" s="370">
        <v>281</v>
      </c>
    </row>
    <row r="19" spans="1:5">
      <c r="A19" s="306" t="s">
        <v>72</v>
      </c>
      <c r="B19" s="341">
        <v>186</v>
      </c>
      <c r="C19" s="343">
        <v>272</v>
      </c>
      <c r="D19" s="343">
        <v>252</v>
      </c>
      <c r="E19" s="370">
        <v>710</v>
      </c>
    </row>
    <row r="20" spans="1:5">
      <c r="A20" s="317" t="s">
        <v>65</v>
      </c>
      <c r="B20" s="346">
        <v>2178</v>
      </c>
      <c r="C20" s="346">
        <v>4785</v>
      </c>
      <c r="D20" s="346">
        <v>2865</v>
      </c>
      <c r="E20" s="368">
        <v>9828</v>
      </c>
    </row>
    <row r="21" spans="1:5">
      <c r="A21" s="306" t="s">
        <v>73</v>
      </c>
      <c r="B21" s="341">
        <v>8</v>
      </c>
      <c r="C21" s="343">
        <v>11</v>
      </c>
      <c r="D21" s="343">
        <v>11</v>
      </c>
      <c r="E21" s="367">
        <v>30</v>
      </c>
    </row>
    <row r="22" spans="1:5">
      <c r="A22" s="306" t="s">
        <v>74</v>
      </c>
      <c r="B22" s="355">
        <v>22</v>
      </c>
      <c r="C22" s="356">
        <v>29</v>
      </c>
      <c r="D22" s="356">
        <v>26</v>
      </c>
      <c r="E22" s="367">
        <v>77</v>
      </c>
    </row>
    <row r="23" spans="1:5">
      <c r="A23" s="306" t="s">
        <v>75</v>
      </c>
      <c r="B23" s="341">
        <v>22</v>
      </c>
      <c r="C23" s="343">
        <v>101</v>
      </c>
      <c r="D23" s="343">
        <v>37</v>
      </c>
      <c r="E23" s="367">
        <v>160</v>
      </c>
    </row>
    <row r="24" spans="1:5">
      <c r="A24" s="310" t="s">
        <v>76</v>
      </c>
      <c r="B24" s="346">
        <v>5374</v>
      </c>
      <c r="C24" s="346">
        <v>10390</v>
      </c>
      <c r="D24" s="346">
        <v>6241</v>
      </c>
      <c r="E24" s="368">
        <v>22005</v>
      </c>
    </row>
    <row r="25" spans="1:5">
      <c r="A25" s="320" t="s">
        <v>77</v>
      </c>
      <c r="B25" s="307"/>
      <c r="C25" s="308"/>
      <c r="D25" s="308"/>
      <c r="E25" s="367"/>
    </row>
    <row r="26" spans="1:5">
      <c r="A26" s="306" t="s">
        <v>67</v>
      </c>
      <c r="B26" s="342">
        <v>38396</v>
      </c>
      <c r="C26" s="344">
        <v>5874</v>
      </c>
      <c r="D26" s="344">
        <v>29324</v>
      </c>
      <c r="E26" s="367">
        <v>73594</v>
      </c>
    </row>
    <row r="27" spans="1:5">
      <c r="A27" s="306" t="s">
        <v>68</v>
      </c>
      <c r="B27" s="355">
        <v>671</v>
      </c>
      <c r="C27" s="357">
        <v>68092</v>
      </c>
      <c r="D27" s="357">
        <v>5781</v>
      </c>
      <c r="E27" s="367">
        <v>74544</v>
      </c>
    </row>
    <row r="28" spans="1:5">
      <c r="A28" s="306" t="s">
        <v>71</v>
      </c>
      <c r="B28" s="341">
        <v>260</v>
      </c>
      <c r="C28" s="344">
        <v>3012</v>
      </c>
      <c r="D28" s="343">
        <v>418</v>
      </c>
      <c r="E28" s="367">
        <v>3690</v>
      </c>
    </row>
    <row r="29" spans="1:5">
      <c r="A29" s="306" t="s">
        <v>69</v>
      </c>
      <c r="B29" s="342">
        <v>1589</v>
      </c>
      <c r="C29" s="344">
        <v>1424</v>
      </c>
      <c r="D29" s="344">
        <v>2243</v>
      </c>
      <c r="E29" s="367">
        <v>5256</v>
      </c>
    </row>
    <row r="30" spans="1:5">
      <c r="A30" s="306" t="s">
        <v>72</v>
      </c>
      <c r="B30" s="342">
        <v>1600</v>
      </c>
      <c r="C30" s="344">
        <v>2470</v>
      </c>
      <c r="D30" s="344">
        <v>2422</v>
      </c>
      <c r="E30" s="367">
        <v>6492</v>
      </c>
    </row>
    <row r="31" spans="1:5">
      <c r="A31" s="317" t="s">
        <v>65</v>
      </c>
      <c r="B31" s="346">
        <v>42516</v>
      </c>
      <c r="C31" s="346">
        <v>80872</v>
      </c>
      <c r="D31" s="346">
        <v>40188</v>
      </c>
      <c r="E31" s="368">
        <v>163576</v>
      </c>
    </row>
    <row r="32" spans="1:5">
      <c r="A32" s="320" t="s">
        <v>78</v>
      </c>
      <c r="B32" s="307"/>
      <c r="C32" s="308"/>
      <c r="D32" s="308"/>
      <c r="E32" s="367"/>
    </row>
    <row r="33" spans="1:5">
      <c r="A33" s="306" t="s">
        <v>67</v>
      </c>
      <c r="B33" s="307" t="s">
        <v>79</v>
      </c>
      <c r="C33" s="308" t="s">
        <v>80</v>
      </c>
      <c r="D33" s="343">
        <v>73</v>
      </c>
      <c r="E33" s="371">
        <v>112</v>
      </c>
    </row>
    <row r="34" spans="1:5">
      <c r="A34" s="306" t="s">
        <v>81</v>
      </c>
      <c r="B34" s="324" t="s">
        <v>79</v>
      </c>
      <c r="C34" s="325" t="s">
        <v>79</v>
      </c>
      <c r="D34" s="358">
        <v>608</v>
      </c>
      <c r="E34" s="370">
        <v>1025</v>
      </c>
    </row>
    <row r="35" spans="1:5">
      <c r="A35" s="317" t="s">
        <v>65</v>
      </c>
      <c r="B35" s="346">
        <v>307</v>
      </c>
      <c r="C35" s="346">
        <v>149</v>
      </c>
      <c r="D35" s="346">
        <v>681</v>
      </c>
      <c r="E35" s="368">
        <v>1137</v>
      </c>
    </row>
    <row r="36" spans="1:5">
      <c r="A36" s="320" t="s">
        <v>82</v>
      </c>
      <c r="B36" s="307"/>
      <c r="C36" s="308"/>
      <c r="D36" s="308"/>
      <c r="E36" s="367"/>
    </row>
    <row r="37" spans="1:5">
      <c r="A37" s="306" t="s">
        <v>67</v>
      </c>
      <c r="B37" s="342">
        <v>21605</v>
      </c>
      <c r="C37" s="344">
        <v>1731</v>
      </c>
      <c r="D37" s="344">
        <v>8739</v>
      </c>
      <c r="E37" s="370">
        <v>32075</v>
      </c>
    </row>
    <row r="38" spans="1:5">
      <c r="A38" s="306" t="s">
        <v>68</v>
      </c>
      <c r="B38" s="307" t="s">
        <v>79</v>
      </c>
      <c r="C38" s="344" t="s">
        <v>79</v>
      </c>
      <c r="D38" s="308">
        <v>2919</v>
      </c>
      <c r="E38" s="370">
        <v>41175</v>
      </c>
    </row>
    <row r="39" spans="1:5">
      <c r="A39" s="306" t="s">
        <v>71</v>
      </c>
      <c r="B39" s="307" t="s">
        <v>80</v>
      </c>
      <c r="C39" s="344" t="s">
        <v>79</v>
      </c>
      <c r="D39" s="308">
        <v>66</v>
      </c>
      <c r="E39" s="370">
        <v>1373</v>
      </c>
    </row>
    <row r="40" spans="1:5">
      <c r="A40" s="306" t="s">
        <v>69</v>
      </c>
      <c r="B40" s="342">
        <v>2220</v>
      </c>
      <c r="C40" s="343">
        <v>772</v>
      </c>
      <c r="D40" s="344">
        <v>1448</v>
      </c>
      <c r="E40" s="370">
        <v>4440</v>
      </c>
    </row>
    <row r="41" spans="1:5">
      <c r="A41" s="306" t="s">
        <v>72</v>
      </c>
      <c r="B41" s="342">
        <v>3472</v>
      </c>
      <c r="C41" s="344">
        <v>4292</v>
      </c>
      <c r="D41" s="344">
        <v>3248</v>
      </c>
      <c r="E41" s="370">
        <v>11012</v>
      </c>
    </row>
    <row r="42" spans="1:5">
      <c r="A42" s="317" t="s">
        <v>65</v>
      </c>
      <c r="B42" s="346">
        <v>28121</v>
      </c>
      <c r="C42" s="346">
        <v>45534</v>
      </c>
      <c r="D42" s="346">
        <v>16420</v>
      </c>
      <c r="E42" s="368">
        <v>90075</v>
      </c>
    </row>
    <row r="43" spans="1:5">
      <c r="A43" s="320" t="s">
        <v>83</v>
      </c>
      <c r="B43" s="307"/>
      <c r="C43" s="308"/>
      <c r="D43" s="308"/>
      <c r="E43" s="367"/>
    </row>
    <row r="44" spans="1:5">
      <c r="A44" s="306" t="s">
        <v>67</v>
      </c>
      <c r="B44" s="342">
        <v>8392</v>
      </c>
      <c r="C44" s="344">
        <v>2023</v>
      </c>
      <c r="D44" s="344">
        <v>4389</v>
      </c>
      <c r="E44" s="370">
        <v>14804</v>
      </c>
    </row>
    <row r="45" spans="1:5">
      <c r="A45" s="306" t="s">
        <v>84</v>
      </c>
      <c r="B45" s="341">
        <v>439</v>
      </c>
      <c r="C45" s="344">
        <v>28318</v>
      </c>
      <c r="D45" s="344">
        <v>1948</v>
      </c>
      <c r="E45" s="370">
        <v>30705</v>
      </c>
    </row>
    <row r="46" spans="1:5">
      <c r="A46" s="306" t="s">
        <v>85</v>
      </c>
      <c r="B46" s="342">
        <v>10795</v>
      </c>
      <c r="C46" s="344">
        <v>3475</v>
      </c>
      <c r="D46" s="344">
        <v>6912</v>
      </c>
      <c r="E46" s="370">
        <v>21182</v>
      </c>
    </row>
    <row r="47" spans="1:5">
      <c r="A47" s="317" t="s">
        <v>65</v>
      </c>
      <c r="B47" s="346">
        <v>19626</v>
      </c>
      <c r="C47" s="346">
        <v>33816</v>
      </c>
      <c r="D47" s="346">
        <v>13249</v>
      </c>
      <c r="E47" s="368">
        <v>66691</v>
      </c>
    </row>
    <row r="48" spans="1:5">
      <c r="A48" s="320" t="s">
        <v>86</v>
      </c>
      <c r="B48" s="307"/>
      <c r="C48" s="308"/>
      <c r="D48" s="308"/>
      <c r="E48" s="367"/>
    </row>
    <row r="49" spans="1:5">
      <c r="A49" s="306" t="s">
        <v>67</v>
      </c>
      <c r="B49" s="342">
        <v>2086</v>
      </c>
      <c r="C49" s="344">
        <v>2950</v>
      </c>
      <c r="D49" s="344">
        <v>2176</v>
      </c>
      <c r="E49" s="370">
        <v>7212</v>
      </c>
    </row>
    <row r="50" spans="1:5">
      <c r="A50" s="306" t="s">
        <v>68</v>
      </c>
      <c r="B50" s="341">
        <v>12</v>
      </c>
      <c r="C50" s="343">
        <v>361</v>
      </c>
      <c r="D50" s="343">
        <v>53</v>
      </c>
      <c r="E50" s="371">
        <v>426</v>
      </c>
    </row>
    <row r="51" spans="1:5">
      <c r="A51" s="306" t="s">
        <v>71</v>
      </c>
      <c r="B51" s="341">
        <v>22</v>
      </c>
      <c r="C51" s="343">
        <v>31</v>
      </c>
      <c r="D51" s="343">
        <v>38</v>
      </c>
      <c r="E51" s="371">
        <v>91</v>
      </c>
    </row>
    <row r="52" spans="1:5">
      <c r="A52" s="317" t="s">
        <v>65</v>
      </c>
      <c r="B52" s="346">
        <v>2120</v>
      </c>
      <c r="C52" s="346">
        <v>3342</v>
      </c>
      <c r="D52" s="346">
        <v>2267</v>
      </c>
      <c r="E52" s="368">
        <v>7729</v>
      </c>
    </row>
    <row r="53" spans="1:5">
      <c r="A53" s="320" t="s">
        <v>87</v>
      </c>
      <c r="B53" s="341">
        <v>7</v>
      </c>
      <c r="C53" s="343">
        <v>12</v>
      </c>
      <c r="D53" s="343">
        <v>6</v>
      </c>
      <c r="E53" s="371">
        <v>25</v>
      </c>
    </row>
    <row r="54" spans="1:5" ht="21">
      <c r="A54" s="372" t="s">
        <v>88</v>
      </c>
      <c r="B54" s="374">
        <f t="shared" ref="B54:D54" si="0">B24+B31+B35+B42+B47+B52</f>
        <v>98064</v>
      </c>
      <c r="C54" s="374">
        <f t="shared" si="0"/>
        <v>174103</v>
      </c>
      <c r="D54" s="374">
        <f t="shared" si="0"/>
        <v>79046</v>
      </c>
      <c r="E54" s="375">
        <f>E24+E31+E35+E42+E47+E52</f>
        <v>351213</v>
      </c>
    </row>
    <row r="55" spans="1:5" ht="21">
      <c r="A55" s="373" t="s">
        <v>89</v>
      </c>
      <c r="B55" s="376">
        <f t="shared" ref="B55:D55" si="1">B54+B53</f>
        <v>98071</v>
      </c>
      <c r="C55" s="376">
        <f t="shared" si="1"/>
        <v>174115</v>
      </c>
      <c r="D55" s="376">
        <f t="shared" si="1"/>
        <v>79052</v>
      </c>
      <c r="E55" s="377">
        <f>E54+E53</f>
        <v>351238</v>
      </c>
    </row>
    <row r="58" spans="1:5">
      <c r="A58" s="170" t="s">
        <v>90</v>
      </c>
    </row>
    <row r="59" spans="1:5" ht="14.25">
      <c r="A59" s="205" t="s">
        <v>91</v>
      </c>
    </row>
    <row r="60" spans="1:5" ht="14.25">
      <c r="A60" s="296" t="s">
        <v>92</v>
      </c>
    </row>
  </sheetData>
  <conditionalFormatting sqref="B5:E55">
    <cfRule type="cellIs" dxfId="4" priority="1" operator="between">
      <formula>1</formula>
      <formula>4</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F407-625B-45FF-9208-216732C5D764}">
  <dimension ref="A1:N60"/>
  <sheetViews>
    <sheetView topLeftCell="A25" workbookViewId="0">
      <selection activeCell="F41" sqref="F41"/>
    </sheetView>
  </sheetViews>
  <sheetFormatPr defaultRowHeight="12.75"/>
  <cols>
    <col min="1" max="1" width="53.85546875" customWidth="1"/>
    <col min="4" max="4" width="15" customWidth="1"/>
  </cols>
  <sheetData>
    <row r="1" spans="1:14" ht="18">
      <c r="A1" s="168" t="s">
        <v>93</v>
      </c>
      <c r="B1" s="168"/>
      <c r="C1" s="169"/>
      <c r="D1" s="169"/>
      <c r="E1" s="169"/>
      <c r="F1" s="169"/>
    </row>
    <row r="2" spans="1:14" ht="18">
      <c r="A2" s="168" t="s">
        <v>56</v>
      </c>
      <c r="B2" s="168"/>
      <c r="C2" s="169"/>
      <c r="D2" s="169"/>
      <c r="E2" s="169"/>
      <c r="F2" s="169"/>
    </row>
    <row r="3" spans="1:14" ht="13.5" thickBot="1"/>
    <row r="4" spans="1:14" ht="64.5" thickTop="1">
      <c r="A4" s="297" t="s">
        <v>57</v>
      </c>
      <c r="B4" s="298" t="s">
        <v>58</v>
      </c>
      <c r="C4" s="299" t="s">
        <v>59</v>
      </c>
      <c r="D4" s="299" t="s">
        <v>60</v>
      </c>
      <c r="E4" s="300" t="s">
        <v>61</v>
      </c>
    </row>
    <row r="5" spans="1:14" ht="13.5" customHeight="1">
      <c r="A5" s="301" t="s">
        <v>62</v>
      </c>
      <c r="B5" s="302"/>
      <c r="C5" s="303"/>
      <c r="D5" s="304"/>
      <c r="E5" s="305"/>
    </row>
    <row r="6" spans="1:14">
      <c r="A6" s="306" t="s">
        <v>63</v>
      </c>
      <c r="B6" s="342">
        <v>1132</v>
      </c>
      <c r="C6" s="344">
        <v>2716</v>
      </c>
      <c r="D6" s="344">
        <v>1610</v>
      </c>
      <c r="E6" s="309">
        <f t="shared" ref="E6:E8" si="0">SUM(B6:D6)</f>
        <v>5458</v>
      </c>
      <c r="K6" s="334"/>
      <c r="L6" s="334"/>
      <c r="M6" s="334"/>
      <c r="N6" s="334"/>
    </row>
    <row r="7" spans="1:14">
      <c r="A7" s="306" t="s">
        <v>64</v>
      </c>
      <c r="B7" s="341">
        <v>254</v>
      </c>
      <c r="C7" s="343">
        <v>304</v>
      </c>
      <c r="D7" s="343">
        <v>372</v>
      </c>
      <c r="E7" s="309">
        <f t="shared" si="0"/>
        <v>930</v>
      </c>
      <c r="K7" s="334"/>
      <c r="L7" s="334"/>
      <c r="M7" s="334"/>
      <c r="N7" s="334"/>
    </row>
    <row r="8" spans="1:14">
      <c r="A8" s="310" t="s">
        <v>65</v>
      </c>
      <c r="B8" s="346">
        <v>1386</v>
      </c>
      <c r="C8" s="348">
        <v>3020</v>
      </c>
      <c r="D8" s="348">
        <v>1982</v>
      </c>
      <c r="E8" s="340">
        <f t="shared" si="0"/>
        <v>6388</v>
      </c>
      <c r="K8" s="334"/>
      <c r="L8" s="334"/>
      <c r="M8" s="334"/>
      <c r="N8" s="334"/>
    </row>
    <row r="9" spans="1:14">
      <c r="A9" s="315" t="s">
        <v>66</v>
      </c>
      <c r="B9" s="316"/>
      <c r="C9" s="308"/>
      <c r="D9" s="316"/>
      <c r="E9" s="309"/>
      <c r="K9" s="334"/>
      <c r="L9" s="334"/>
      <c r="M9" s="334"/>
      <c r="N9" s="334"/>
    </row>
    <row r="10" spans="1:14">
      <c r="A10" s="306" t="s">
        <v>67</v>
      </c>
      <c r="B10" s="342">
        <v>1489</v>
      </c>
      <c r="C10" s="342">
        <v>1017</v>
      </c>
      <c r="D10" s="344">
        <v>1378</v>
      </c>
      <c r="E10" s="309">
        <f t="shared" ref="E10:E13" si="1">SUM(B10:D10)</f>
        <v>3884</v>
      </c>
      <c r="K10" s="334"/>
      <c r="L10" s="334"/>
      <c r="M10" s="334"/>
      <c r="N10" s="334"/>
    </row>
    <row r="11" spans="1:14">
      <c r="A11" s="306" t="s">
        <v>68</v>
      </c>
      <c r="B11" s="349">
        <v>34</v>
      </c>
      <c r="C11" s="351">
        <v>1387</v>
      </c>
      <c r="D11" s="350">
        <v>310</v>
      </c>
      <c r="E11" s="309">
        <f t="shared" si="1"/>
        <v>1731</v>
      </c>
      <c r="K11" s="334"/>
      <c r="L11" s="334"/>
      <c r="M11" s="334"/>
      <c r="N11" s="334"/>
    </row>
    <row r="12" spans="1:14">
      <c r="A12" s="306" t="s">
        <v>69</v>
      </c>
      <c r="B12" s="341">
        <v>30</v>
      </c>
      <c r="C12" s="343">
        <v>30</v>
      </c>
      <c r="D12" s="343">
        <v>45</v>
      </c>
      <c r="E12" s="309">
        <f t="shared" si="1"/>
        <v>105</v>
      </c>
      <c r="K12" s="334"/>
      <c r="L12" s="334"/>
      <c r="M12" s="334"/>
      <c r="N12" s="334"/>
    </row>
    <row r="13" spans="1:14">
      <c r="A13" s="317" t="s">
        <v>65</v>
      </c>
      <c r="B13" s="346">
        <v>1553</v>
      </c>
      <c r="C13" s="348">
        <v>2434</v>
      </c>
      <c r="D13" s="348">
        <v>1733</v>
      </c>
      <c r="E13" s="339">
        <f t="shared" si="1"/>
        <v>5720</v>
      </c>
      <c r="K13" s="334"/>
      <c r="L13" s="334"/>
      <c r="M13" s="334"/>
      <c r="N13" s="334"/>
    </row>
    <row r="14" spans="1:14">
      <c r="A14" s="320" t="s">
        <v>70</v>
      </c>
      <c r="B14" s="307"/>
      <c r="C14" s="308"/>
      <c r="D14" s="308"/>
      <c r="E14" s="321"/>
      <c r="K14" s="334"/>
      <c r="L14" s="334"/>
      <c r="M14" s="334"/>
      <c r="N14" s="334"/>
    </row>
    <row r="15" spans="1:14">
      <c r="A15" s="306" t="s">
        <v>67</v>
      </c>
      <c r="B15" s="342">
        <v>1852</v>
      </c>
      <c r="C15" s="343">
        <v>565</v>
      </c>
      <c r="D15" s="344">
        <v>2049</v>
      </c>
      <c r="E15" s="353">
        <f>SUM(B15:D15)</f>
        <v>4466</v>
      </c>
      <c r="K15" s="334"/>
      <c r="L15" s="334"/>
      <c r="M15" s="334"/>
      <c r="N15" s="334"/>
    </row>
    <row r="16" spans="1:14">
      <c r="A16" s="306" t="s">
        <v>68</v>
      </c>
      <c r="B16" s="341">
        <v>63</v>
      </c>
      <c r="C16" s="344">
        <v>3419</v>
      </c>
      <c r="D16" s="343">
        <v>338</v>
      </c>
      <c r="E16" s="353">
        <f t="shared" ref="E16:E24" si="2">SUM(B16:D16)</f>
        <v>3820</v>
      </c>
      <c r="K16" s="334"/>
      <c r="L16" s="334"/>
      <c r="M16" s="334"/>
      <c r="N16" s="334"/>
    </row>
    <row r="17" spans="1:14">
      <c r="A17" s="306" t="s">
        <v>71</v>
      </c>
      <c r="B17" s="341">
        <v>39</v>
      </c>
      <c r="C17" s="343">
        <v>421</v>
      </c>
      <c r="D17" s="343">
        <v>113</v>
      </c>
      <c r="E17" s="353">
        <f t="shared" si="2"/>
        <v>573</v>
      </c>
      <c r="K17" s="334"/>
      <c r="L17" s="334"/>
      <c r="M17" s="334"/>
      <c r="N17" s="334"/>
    </row>
    <row r="18" spans="1:14">
      <c r="A18" s="306" t="s">
        <v>69</v>
      </c>
      <c r="B18" s="341">
        <v>72</v>
      </c>
      <c r="C18" s="343">
        <v>91</v>
      </c>
      <c r="D18" s="343">
        <v>93</v>
      </c>
      <c r="E18" s="353">
        <f t="shared" si="2"/>
        <v>256</v>
      </c>
      <c r="K18" s="334"/>
      <c r="L18" s="334"/>
      <c r="M18" s="334"/>
      <c r="N18" s="334"/>
    </row>
    <row r="19" spans="1:14">
      <c r="A19" s="306" t="s">
        <v>72</v>
      </c>
      <c r="B19" s="341">
        <v>149</v>
      </c>
      <c r="C19" s="343">
        <v>250</v>
      </c>
      <c r="D19" s="343">
        <v>236</v>
      </c>
      <c r="E19" s="353">
        <f t="shared" si="2"/>
        <v>635</v>
      </c>
      <c r="K19" s="334"/>
      <c r="L19" s="334"/>
      <c r="M19" s="334"/>
      <c r="N19" s="334"/>
    </row>
    <row r="20" spans="1:14">
      <c r="A20" s="317" t="s">
        <v>65</v>
      </c>
      <c r="B20" s="346">
        <v>2175</v>
      </c>
      <c r="C20" s="348">
        <v>4746</v>
      </c>
      <c r="D20" s="348">
        <v>2829</v>
      </c>
      <c r="E20" s="354">
        <f t="shared" si="2"/>
        <v>9750</v>
      </c>
      <c r="K20" s="334"/>
      <c r="L20" s="334"/>
      <c r="M20" s="334"/>
      <c r="N20" s="334"/>
    </row>
    <row r="21" spans="1:14">
      <c r="A21" s="306" t="s">
        <v>73</v>
      </c>
      <c r="B21" s="341">
        <v>5</v>
      </c>
      <c r="C21" s="343">
        <v>10</v>
      </c>
      <c r="D21" s="343">
        <v>6</v>
      </c>
      <c r="E21" s="309">
        <f t="shared" si="2"/>
        <v>21</v>
      </c>
      <c r="K21" s="334"/>
      <c r="L21" s="334"/>
      <c r="M21" s="334"/>
      <c r="N21" s="334"/>
    </row>
    <row r="22" spans="1:14">
      <c r="A22" s="306" t="s">
        <v>74</v>
      </c>
      <c r="B22" s="355">
        <v>9</v>
      </c>
      <c r="C22" s="356">
        <v>51</v>
      </c>
      <c r="D22" s="356">
        <v>26</v>
      </c>
      <c r="E22" s="309">
        <f t="shared" si="2"/>
        <v>86</v>
      </c>
      <c r="K22" s="334"/>
      <c r="L22" s="334"/>
      <c r="M22" s="334"/>
      <c r="N22" s="334"/>
    </row>
    <row r="23" spans="1:14">
      <c r="A23" s="306" t="s">
        <v>75</v>
      </c>
      <c r="B23" s="341">
        <v>32</v>
      </c>
      <c r="C23" s="343">
        <v>110</v>
      </c>
      <c r="D23" s="343">
        <v>42</v>
      </c>
      <c r="E23" s="309">
        <f t="shared" si="2"/>
        <v>184</v>
      </c>
      <c r="K23" s="334"/>
      <c r="L23" s="334"/>
      <c r="M23" s="334"/>
      <c r="N23" s="334"/>
    </row>
    <row r="24" spans="1:14">
      <c r="A24" s="310" t="s">
        <v>76</v>
      </c>
      <c r="B24" s="311">
        <v>5160</v>
      </c>
      <c r="C24" s="311">
        <v>10371</v>
      </c>
      <c r="D24" s="311">
        <v>6618</v>
      </c>
      <c r="E24" s="319">
        <f>SUM(B24:D24)</f>
        <v>22149</v>
      </c>
      <c r="K24" s="334"/>
      <c r="L24" s="334"/>
      <c r="M24" s="334"/>
      <c r="N24" s="334"/>
    </row>
    <row r="25" spans="1:14">
      <c r="A25" s="320" t="s">
        <v>77</v>
      </c>
      <c r="B25" s="307"/>
      <c r="C25" s="308"/>
      <c r="D25" s="308"/>
      <c r="E25" s="309"/>
      <c r="K25" s="334"/>
      <c r="L25" s="334"/>
      <c r="M25" s="334"/>
      <c r="N25" s="334"/>
    </row>
    <row r="26" spans="1:14">
      <c r="A26" s="306" t="s">
        <v>67</v>
      </c>
      <c r="B26" s="342">
        <v>40017</v>
      </c>
      <c r="C26" s="344">
        <v>5923</v>
      </c>
      <c r="D26" s="344">
        <v>29078</v>
      </c>
      <c r="E26" s="309">
        <f t="shared" ref="E26:E31" si="3">SUM(B26:D26)</f>
        <v>75018</v>
      </c>
      <c r="K26" s="334"/>
      <c r="L26" s="334"/>
      <c r="M26" s="334"/>
      <c r="N26" s="334"/>
    </row>
    <row r="27" spans="1:14">
      <c r="A27" s="306" t="s">
        <v>68</v>
      </c>
      <c r="B27" s="355">
        <v>714</v>
      </c>
      <c r="C27" s="357">
        <v>69211</v>
      </c>
      <c r="D27" s="357">
        <v>5612</v>
      </c>
      <c r="E27" s="309">
        <f t="shared" si="3"/>
        <v>75537</v>
      </c>
      <c r="K27" s="334"/>
      <c r="L27" s="334"/>
      <c r="M27" s="334"/>
      <c r="N27" s="334"/>
    </row>
    <row r="28" spans="1:14">
      <c r="A28" s="306" t="s">
        <v>71</v>
      </c>
      <c r="B28" s="341">
        <v>219</v>
      </c>
      <c r="C28" s="344">
        <v>2988</v>
      </c>
      <c r="D28" s="343">
        <v>460</v>
      </c>
      <c r="E28" s="309">
        <f t="shared" si="3"/>
        <v>3667</v>
      </c>
      <c r="K28" s="334"/>
      <c r="L28" s="334"/>
      <c r="M28" s="334"/>
      <c r="N28" s="334"/>
    </row>
    <row r="29" spans="1:14">
      <c r="A29" s="306" t="s">
        <v>69</v>
      </c>
      <c r="B29" s="342">
        <v>1658</v>
      </c>
      <c r="C29" s="344">
        <v>1491</v>
      </c>
      <c r="D29" s="344">
        <v>2290</v>
      </c>
      <c r="E29" s="309">
        <f t="shared" si="3"/>
        <v>5439</v>
      </c>
      <c r="K29" s="334"/>
      <c r="L29" s="334"/>
      <c r="M29" s="334"/>
      <c r="N29" s="334"/>
    </row>
    <row r="30" spans="1:14">
      <c r="A30" s="306" t="s">
        <v>72</v>
      </c>
      <c r="B30" s="342">
        <v>1692</v>
      </c>
      <c r="C30" s="344">
        <v>2521</v>
      </c>
      <c r="D30" s="344">
        <v>2337</v>
      </c>
      <c r="E30" s="309">
        <f t="shared" si="3"/>
        <v>6550</v>
      </c>
      <c r="K30" s="334"/>
      <c r="L30" s="334"/>
      <c r="M30" s="334"/>
      <c r="N30" s="334"/>
    </row>
    <row r="31" spans="1:14">
      <c r="A31" s="317" t="s">
        <v>65</v>
      </c>
      <c r="B31" s="346">
        <v>44300</v>
      </c>
      <c r="C31" s="348">
        <v>82134</v>
      </c>
      <c r="D31" s="348">
        <v>39777</v>
      </c>
      <c r="E31" s="340">
        <f t="shared" si="3"/>
        <v>166211</v>
      </c>
      <c r="K31" s="334"/>
      <c r="L31" s="334"/>
      <c r="M31" s="334"/>
      <c r="N31" s="334"/>
    </row>
    <row r="32" spans="1:14">
      <c r="A32" s="320" t="s">
        <v>78</v>
      </c>
      <c r="B32" s="307"/>
      <c r="C32" s="308"/>
      <c r="D32" s="308"/>
      <c r="E32" s="309"/>
      <c r="K32" s="334"/>
      <c r="L32" s="334"/>
      <c r="M32" s="334"/>
      <c r="N32" s="334"/>
    </row>
    <row r="33" spans="1:14">
      <c r="A33" s="306" t="s">
        <v>67</v>
      </c>
      <c r="B33" s="307" t="s">
        <v>94</v>
      </c>
      <c r="C33" s="308" t="s">
        <v>80</v>
      </c>
      <c r="D33" s="343">
        <v>63</v>
      </c>
      <c r="E33" s="352">
        <v>95</v>
      </c>
      <c r="K33" s="334"/>
      <c r="L33" s="334"/>
      <c r="M33" s="334"/>
      <c r="N33" s="334"/>
    </row>
    <row r="34" spans="1:14">
      <c r="A34" s="306" t="s">
        <v>81</v>
      </c>
      <c r="B34" s="324" t="s">
        <v>94</v>
      </c>
      <c r="C34" s="325" t="s">
        <v>94</v>
      </c>
      <c r="D34" s="358">
        <v>712</v>
      </c>
      <c r="E34" s="353">
        <v>1217</v>
      </c>
      <c r="K34" s="334"/>
      <c r="L34" s="334"/>
      <c r="M34" s="334"/>
      <c r="N34" s="334"/>
    </row>
    <row r="35" spans="1:14">
      <c r="A35" s="317" t="s">
        <v>65</v>
      </c>
      <c r="B35" s="345">
        <v>367</v>
      </c>
      <c r="C35" s="347">
        <v>170</v>
      </c>
      <c r="D35" s="347">
        <v>775</v>
      </c>
      <c r="E35" s="340" t="s">
        <v>95</v>
      </c>
      <c r="K35" s="334"/>
      <c r="L35" s="334"/>
      <c r="M35" s="334"/>
      <c r="N35" s="334"/>
    </row>
    <row r="36" spans="1:14">
      <c r="A36" s="320" t="s">
        <v>82</v>
      </c>
      <c r="B36" s="307"/>
      <c r="C36" s="308"/>
      <c r="D36" s="308"/>
      <c r="E36" s="309"/>
      <c r="K36" s="334"/>
      <c r="L36" s="334"/>
      <c r="M36" s="334"/>
      <c r="N36" s="334"/>
    </row>
    <row r="37" spans="1:14">
      <c r="A37" s="306" t="s">
        <v>67</v>
      </c>
      <c r="B37" s="342">
        <v>22229</v>
      </c>
      <c r="C37" s="344">
        <v>1648</v>
      </c>
      <c r="D37" s="344">
        <v>8610</v>
      </c>
      <c r="E37" s="353">
        <v>32487</v>
      </c>
      <c r="K37" s="334"/>
      <c r="L37" s="334"/>
      <c r="M37" s="334"/>
      <c r="N37" s="334"/>
    </row>
    <row r="38" spans="1:14">
      <c r="A38" s="306" t="s">
        <v>68</v>
      </c>
      <c r="B38" s="307" t="s">
        <v>94</v>
      </c>
      <c r="C38" s="344">
        <v>37573</v>
      </c>
      <c r="D38" s="308" t="s">
        <v>96</v>
      </c>
      <c r="E38" s="353">
        <v>41070</v>
      </c>
      <c r="K38" s="334"/>
      <c r="L38" s="334"/>
      <c r="M38" s="334"/>
      <c r="N38" s="334"/>
    </row>
    <row r="39" spans="1:14">
      <c r="A39" s="306" t="s">
        <v>71</v>
      </c>
      <c r="B39" s="307" t="s">
        <v>80</v>
      </c>
      <c r="C39" s="344">
        <v>1300</v>
      </c>
      <c r="D39" s="308" t="s">
        <v>96</v>
      </c>
      <c r="E39" s="353">
        <v>1366</v>
      </c>
      <c r="K39" s="334"/>
      <c r="L39" s="334"/>
      <c r="M39" s="334"/>
      <c r="N39" s="334"/>
    </row>
    <row r="40" spans="1:14">
      <c r="A40" s="306" t="s">
        <v>69</v>
      </c>
      <c r="B40" s="342">
        <v>2261</v>
      </c>
      <c r="C40" s="343">
        <v>781</v>
      </c>
      <c r="D40" s="344">
        <v>1408</v>
      </c>
      <c r="E40" s="353">
        <v>4450</v>
      </c>
      <c r="K40" s="334"/>
      <c r="L40" s="334"/>
      <c r="M40" s="334"/>
      <c r="N40" s="334"/>
    </row>
    <row r="41" spans="1:14">
      <c r="A41" s="306" t="s">
        <v>72</v>
      </c>
      <c r="B41" s="342">
        <v>3485</v>
      </c>
      <c r="C41" s="344">
        <v>4337</v>
      </c>
      <c r="D41" s="344">
        <v>3126</v>
      </c>
      <c r="E41" s="353">
        <v>10948</v>
      </c>
      <c r="K41" s="334"/>
      <c r="L41" s="334"/>
      <c r="M41" s="334"/>
      <c r="N41" s="334"/>
    </row>
    <row r="42" spans="1:14">
      <c r="A42" s="317" t="s">
        <v>65</v>
      </c>
      <c r="B42" s="346">
        <v>28760</v>
      </c>
      <c r="C42" s="348">
        <v>45639</v>
      </c>
      <c r="D42" s="348">
        <v>15922</v>
      </c>
      <c r="E42" s="354">
        <v>90321</v>
      </c>
      <c r="K42" s="334"/>
      <c r="L42" s="334"/>
      <c r="M42" s="334"/>
      <c r="N42" s="334"/>
    </row>
    <row r="43" spans="1:14">
      <c r="A43" s="320" t="s">
        <v>83</v>
      </c>
      <c r="B43" s="307"/>
      <c r="C43" s="308"/>
      <c r="D43" s="308"/>
      <c r="E43" s="309"/>
      <c r="K43" s="334"/>
      <c r="L43" s="334"/>
      <c r="M43" s="334"/>
      <c r="N43" s="334"/>
    </row>
    <row r="44" spans="1:14">
      <c r="A44" s="306" t="s">
        <v>67</v>
      </c>
      <c r="B44" s="342">
        <v>8630</v>
      </c>
      <c r="C44" s="344">
        <v>1934</v>
      </c>
      <c r="D44" s="344">
        <v>4169</v>
      </c>
      <c r="E44" s="353">
        <v>14733</v>
      </c>
      <c r="K44" s="334"/>
      <c r="L44" s="334"/>
      <c r="M44" s="334"/>
      <c r="N44" s="334"/>
    </row>
    <row r="45" spans="1:14">
      <c r="A45" s="306" t="s">
        <v>84</v>
      </c>
      <c r="B45" s="341">
        <v>432</v>
      </c>
      <c r="C45" s="344">
        <v>28563</v>
      </c>
      <c r="D45" s="344">
        <v>1754</v>
      </c>
      <c r="E45" s="353">
        <v>30749</v>
      </c>
      <c r="K45" s="334"/>
      <c r="L45" s="334"/>
      <c r="M45" s="334"/>
      <c r="N45" s="334"/>
    </row>
    <row r="46" spans="1:14">
      <c r="A46" s="306" t="s">
        <v>85</v>
      </c>
      <c r="B46" s="342">
        <v>11039</v>
      </c>
      <c r="C46" s="344">
        <v>3442</v>
      </c>
      <c r="D46" s="344">
        <v>6605</v>
      </c>
      <c r="E46" s="353">
        <v>21086</v>
      </c>
      <c r="K46" s="334"/>
      <c r="L46" s="334"/>
      <c r="M46" s="334"/>
      <c r="N46" s="334"/>
    </row>
    <row r="47" spans="1:14">
      <c r="A47" s="317" t="s">
        <v>65</v>
      </c>
      <c r="B47" s="346">
        <v>20101</v>
      </c>
      <c r="C47" s="348">
        <v>33939</v>
      </c>
      <c r="D47" s="348">
        <v>12528</v>
      </c>
      <c r="E47" s="354">
        <v>66568</v>
      </c>
      <c r="K47" s="334"/>
      <c r="L47" s="334"/>
      <c r="M47" s="334"/>
      <c r="N47" s="334"/>
    </row>
    <row r="48" spans="1:14">
      <c r="A48" s="320" t="s">
        <v>86</v>
      </c>
      <c r="B48" s="307"/>
      <c r="C48" s="308"/>
      <c r="D48" s="308"/>
      <c r="E48" s="309"/>
      <c r="K48" s="334"/>
      <c r="L48" s="334"/>
      <c r="M48" s="334"/>
      <c r="N48" s="334"/>
    </row>
    <row r="49" spans="1:14">
      <c r="A49" s="306" t="s">
        <v>67</v>
      </c>
      <c r="B49" s="342">
        <v>2073</v>
      </c>
      <c r="C49" s="344">
        <v>2850</v>
      </c>
      <c r="D49" s="344">
        <v>2034</v>
      </c>
      <c r="E49" s="353">
        <v>6957</v>
      </c>
      <c r="K49" s="334"/>
      <c r="L49" s="334"/>
      <c r="M49" s="334"/>
      <c r="N49" s="334"/>
    </row>
    <row r="50" spans="1:14">
      <c r="A50" s="306" t="s">
        <v>68</v>
      </c>
      <c r="B50" s="341">
        <v>11</v>
      </c>
      <c r="C50" s="343">
        <v>357</v>
      </c>
      <c r="D50" s="343">
        <v>47</v>
      </c>
      <c r="E50" s="352">
        <v>415</v>
      </c>
      <c r="K50" s="334"/>
      <c r="L50" s="334"/>
      <c r="M50" s="334"/>
      <c r="N50" s="334"/>
    </row>
    <row r="51" spans="1:14">
      <c r="A51" s="306" t="s">
        <v>71</v>
      </c>
      <c r="B51" s="341">
        <v>22</v>
      </c>
      <c r="C51" s="343">
        <v>30</v>
      </c>
      <c r="D51" s="343">
        <v>38</v>
      </c>
      <c r="E51" s="352">
        <v>90</v>
      </c>
      <c r="K51" s="334"/>
      <c r="L51" s="334"/>
      <c r="M51" s="334"/>
      <c r="N51" s="334"/>
    </row>
    <row r="52" spans="1:14">
      <c r="A52" s="317" t="s">
        <v>65</v>
      </c>
      <c r="B52" s="346">
        <v>2106</v>
      </c>
      <c r="C52" s="348">
        <v>3237</v>
      </c>
      <c r="D52" s="348">
        <v>2119</v>
      </c>
      <c r="E52" s="354">
        <v>7462</v>
      </c>
      <c r="K52" s="334"/>
      <c r="L52" s="334"/>
      <c r="M52" s="334"/>
      <c r="N52" s="334"/>
    </row>
    <row r="53" spans="1:14" ht="13.5" thickBot="1">
      <c r="A53" s="320" t="s">
        <v>87</v>
      </c>
      <c r="B53" s="341">
        <v>10</v>
      </c>
      <c r="C53" s="343">
        <v>10</v>
      </c>
      <c r="D53" s="343">
        <v>5</v>
      </c>
      <c r="E53" s="352">
        <v>25</v>
      </c>
      <c r="K53" s="334"/>
      <c r="L53" s="334"/>
      <c r="M53" s="334"/>
      <c r="N53" s="334"/>
    </row>
    <row r="54" spans="1:14" ht="26.25" thickBot="1">
      <c r="A54" s="326" t="s">
        <v>88</v>
      </c>
      <c r="B54" s="327">
        <f>B24+B31+B35+B42+B47+B52</f>
        <v>100794</v>
      </c>
      <c r="C54" s="327">
        <f t="shared" ref="C54:E54" si="4">C24+C31+C35+C42+C47+C52</f>
        <v>175490</v>
      </c>
      <c r="D54" s="327">
        <f>D24+D31+D35+D42+D47+D52</f>
        <v>77739</v>
      </c>
      <c r="E54" s="338">
        <f>E24+E31+E35+E42+E47+E52</f>
        <v>354023</v>
      </c>
      <c r="G54" s="334"/>
      <c r="H54" s="334"/>
      <c r="I54" s="334"/>
      <c r="J54" s="334"/>
    </row>
    <row r="55" spans="1:14" ht="26.25" thickBot="1">
      <c r="A55" s="326" t="s">
        <v>89</v>
      </c>
      <c r="B55" s="327">
        <f>B54+B53</f>
        <v>100804</v>
      </c>
      <c r="C55" s="327">
        <f t="shared" ref="C55:E55" si="5">C54+C53</f>
        <v>175500</v>
      </c>
      <c r="D55" s="327">
        <f>D54+D53</f>
        <v>77744</v>
      </c>
      <c r="E55" s="338">
        <f>E54+E53</f>
        <v>354048</v>
      </c>
      <c r="G55" s="334"/>
      <c r="H55" s="334"/>
      <c r="I55" s="334"/>
      <c r="J55" s="334"/>
    </row>
    <row r="58" spans="1:14">
      <c r="A58" s="170" t="s">
        <v>90</v>
      </c>
    </row>
    <row r="59" spans="1:14" ht="14.25">
      <c r="A59" s="205" t="s">
        <v>91</v>
      </c>
    </row>
    <row r="60" spans="1:14" ht="14.25">
      <c r="A60" s="296" t="s">
        <v>92</v>
      </c>
    </row>
  </sheetData>
  <conditionalFormatting sqref="B5:E55">
    <cfRule type="cellIs" dxfId="3" priority="2" operator="between">
      <formula>1</formula>
      <formula>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28B8F-C7DC-4D83-88D1-DF766681B772}">
  <dimension ref="A1:N56"/>
  <sheetViews>
    <sheetView topLeftCell="A11" workbookViewId="0">
      <selection activeCell="H46" sqref="H46"/>
    </sheetView>
  </sheetViews>
  <sheetFormatPr defaultRowHeight="12.75"/>
  <cols>
    <col min="1" max="1" width="53.85546875" customWidth="1"/>
    <col min="4" max="4" width="15" customWidth="1"/>
  </cols>
  <sheetData>
    <row r="1" spans="1:14" ht="18">
      <c r="A1" s="168" t="s">
        <v>97</v>
      </c>
      <c r="B1" s="168"/>
      <c r="C1" s="169"/>
      <c r="D1" s="169"/>
      <c r="E1" s="169"/>
      <c r="F1" s="169"/>
    </row>
    <row r="2" spans="1:14" ht="18">
      <c r="A2" s="168" t="s">
        <v>56</v>
      </c>
      <c r="B2" s="168"/>
      <c r="C2" s="169"/>
      <c r="D2" s="169"/>
      <c r="E2" s="169"/>
      <c r="F2" s="169"/>
    </row>
    <row r="3" spans="1:14" ht="13.5" thickBot="1"/>
    <row r="4" spans="1:14" ht="64.5" thickTop="1">
      <c r="A4" s="297" t="s">
        <v>57</v>
      </c>
      <c r="B4" s="298" t="s">
        <v>58</v>
      </c>
      <c r="C4" s="299" t="s">
        <v>59</v>
      </c>
      <c r="D4" s="299" t="s">
        <v>60</v>
      </c>
      <c r="E4" s="300" t="s">
        <v>61</v>
      </c>
    </row>
    <row r="5" spans="1:14" ht="13.5" customHeight="1">
      <c r="A5" s="301" t="s">
        <v>62</v>
      </c>
      <c r="B5" s="302"/>
      <c r="C5" s="303"/>
      <c r="D5" s="304"/>
      <c r="E5" s="305"/>
    </row>
    <row r="6" spans="1:14">
      <c r="A6" s="306" t="s">
        <v>63</v>
      </c>
      <c r="B6" s="307">
        <v>1286</v>
      </c>
      <c r="C6" s="308">
        <v>2925</v>
      </c>
      <c r="D6" s="308">
        <v>1778</v>
      </c>
      <c r="E6" s="309">
        <v>5989</v>
      </c>
      <c r="K6" s="334"/>
      <c r="L6" s="334"/>
      <c r="M6" s="334"/>
      <c r="N6" s="334"/>
    </row>
    <row r="7" spans="1:14">
      <c r="A7" s="306" t="s">
        <v>64</v>
      </c>
      <c r="B7" s="307">
        <v>341</v>
      </c>
      <c r="C7" s="308">
        <v>294</v>
      </c>
      <c r="D7" s="308">
        <v>419</v>
      </c>
      <c r="E7" s="309">
        <v>1054</v>
      </c>
      <c r="K7" s="334"/>
      <c r="L7" s="334"/>
      <c r="M7" s="334"/>
      <c r="N7" s="334"/>
    </row>
    <row r="8" spans="1:14">
      <c r="A8" s="310" t="s">
        <v>65</v>
      </c>
      <c r="B8" s="311">
        <v>1627</v>
      </c>
      <c r="C8" s="312">
        <v>3219</v>
      </c>
      <c r="D8" s="336">
        <v>2197</v>
      </c>
      <c r="E8" s="337">
        <v>7043</v>
      </c>
      <c r="K8" s="334"/>
      <c r="L8" s="334"/>
      <c r="M8" s="334"/>
      <c r="N8" s="334"/>
    </row>
    <row r="9" spans="1:14">
      <c r="A9" s="315" t="s">
        <v>66</v>
      </c>
      <c r="B9" s="316"/>
      <c r="C9" s="308"/>
      <c r="D9" s="316"/>
      <c r="E9" s="309">
        <v>0</v>
      </c>
      <c r="K9" s="334"/>
      <c r="L9" s="334"/>
      <c r="M9" s="334"/>
      <c r="N9" s="334"/>
    </row>
    <row r="10" spans="1:14">
      <c r="A10" s="306" t="s">
        <v>67</v>
      </c>
      <c r="B10" s="307">
        <v>1665</v>
      </c>
      <c r="C10" s="307">
        <v>1071</v>
      </c>
      <c r="D10" s="308">
        <v>1221</v>
      </c>
      <c r="E10" s="330">
        <v>3957</v>
      </c>
      <c r="K10" s="334"/>
      <c r="L10" s="334"/>
      <c r="M10" s="334"/>
      <c r="N10" s="334"/>
    </row>
    <row r="11" spans="1:14">
      <c r="A11" s="306" t="s">
        <v>68</v>
      </c>
      <c r="B11" s="331">
        <v>32</v>
      </c>
      <c r="C11" s="332">
        <v>1450</v>
      </c>
      <c r="D11" s="332">
        <v>253</v>
      </c>
      <c r="E11" s="333">
        <v>1735</v>
      </c>
      <c r="K11" s="334"/>
      <c r="L11" s="334"/>
      <c r="M11" s="334"/>
      <c r="N11" s="334"/>
    </row>
    <row r="12" spans="1:14">
      <c r="A12" s="306" t="s">
        <v>69</v>
      </c>
      <c r="B12" s="307">
        <v>43</v>
      </c>
      <c r="C12" s="308">
        <v>24</v>
      </c>
      <c r="D12" s="308">
        <v>37</v>
      </c>
      <c r="E12" s="309">
        <v>104</v>
      </c>
      <c r="K12" s="334"/>
      <c r="L12" s="334"/>
      <c r="M12" s="334"/>
      <c r="N12" s="334"/>
    </row>
    <row r="13" spans="1:14">
      <c r="A13" s="317" t="s">
        <v>65</v>
      </c>
      <c r="B13" s="311">
        <v>1740</v>
      </c>
      <c r="C13" s="312">
        <v>2545</v>
      </c>
      <c r="D13" s="312">
        <v>1511</v>
      </c>
      <c r="E13" s="319">
        <v>5796</v>
      </c>
      <c r="K13" s="334"/>
      <c r="L13" s="334"/>
      <c r="M13" s="334"/>
      <c r="N13" s="334"/>
    </row>
    <row r="14" spans="1:14">
      <c r="A14" s="320" t="s">
        <v>98</v>
      </c>
      <c r="B14" s="307"/>
      <c r="C14" s="308"/>
      <c r="D14" s="308"/>
      <c r="E14" s="321">
        <v>0</v>
      </c>
      <c r="K14" s="334"/>
      <c r="L14" s="334"/>
      <c r="M14" s="334"/>
      <c r="N14" s="334"/>
    </row>
    <row r="15" spans="1:14">
      <c r="A15" s="306" t="s">
        <v>67</v>
      </c>
      <c r="B15" s="307">
        <v>2059</v>
      </c>
      <c r="C15" s="308">
        <v>584</v>
      </c>
      <c r="D15" s="308">
        <v>2017</v>
      </c>
      <c r="E15" s="309">
        <v>4660</v>
      </c>
      <c r="K15" s="334"/>
      <c r="L15" s="334"/>
      <c r="M15" s="334"/>
      <c r="N15" s="334"/>
    </row>
    <row r="16" spans="1:14">
      <c r="A16" s="306" t="s">
        <v>68</v>
      </c>
      <c r="B16" s="307">
        <v>67</v>
      </c>
      <c r="C16" s="308">
        <v>3558</v>
      </c>
      <c r="D16" s="308">
        <v>340</v>
      </c>
      <c r="E16" s="309">
        <v>3965</v>
      </c>
      <c r="K16" s="334"/>
      <c r="L16" s="334"/>
      <c r="M16" s="334"/>
      <c r="N16" s="334"/>
    </row>
    <row r="17" spans="1:14">
      <c r="A17" s="306" t="s">
        <v>71</v>
      </c>
      <c r="B17" s="307">
        <v>32</v>
      </c>
      <c r="C17" s="308">
        <v>319</v>
      </c>
      <c r="D17" s="308">
        <v>106</v>
      </c>
      <c r="E17" s="309">
        <v>457</v>
      </c>
      <c r="K17" s="334"/>
      <c r="L17" s="334"/>
      <c r="M17" s="334"/>
      <c r="N17" s="334"/>
    </row>
    <row r="18" spans="1:14">
      <c r="A18" s="306" t="s">
        <v>69</v>
      </c>
      <c r="B18" s="307">
        <v>52</v>
      </c>
      <c r="C18" s="308">
        <v>65</v>
      </c>
      <c r="D18" s="308">
        <v>68</v>
      </c>
      <c r="E18" s="309">
        <v>185</v>
      </c>
      <c r="K18" s="334"/>
      <c r="L18" s="334"/>
      <c r="M18" s="334"/>
      <c r="N18" s="334"/>
    </row>
    <row r="19" spans="1:14">
      <c r="A19" s="306" t="s">
        <v>72</v>
      </c>
      <c r="B19" s="307">
        <v>128</v>
      </c>
      <c r="C19" s="308">
        <v>226</v>
      </c>
      <c r="D19" s="308">
        <v>255</v>
      </c>
      <c r="E19" s="309">
        <v>609</v>
      </c>
      <c r="K19" s="334"/>
      <c r="L19" s="334"/>
      <c r="M19" s="334"/>
      <c r="N19" s="334"/>
    </row>
    <row r="20" spans="1:14">
      <c r="A20" s="317" t="s">
        <v>65</v>
      </c>
      <c r="B20" s="311">
        <v>2338</v>
      </c>
      <c r="C20" s="312">
        <v>4752</v>
      </c>
      <c r="D20" s="312">
        <v>2786</v>
      </c>
      <c r="E20" s="319">
        <v>9876</v>
      </c>
      <c r="K20" s="334"/>
      <c r="L20" s="334"/>
      <c r="M20" s="334"/>
      <c r="N20" s="334"/>
    </row>
    <row r="21" spans="1:14">
      <c r="A21" s="320" t="s">
        <v>77</v>
      </c>
      <c r="B21" s="307"/>
      <c r="C21" s="308"/>
      <c r="D21" s="308"/>
      <c r="E21" s="309">
        <v>0</v>
      </c>
      <c r="K21" s="334"/>
      <c r="L21" s="334"/>
      <c r="M21" s="334"/>
      <c r="N21" s="334"/>
    </row>
    <row r="22" spans="1:14">
      <c r="A22" s="306" t="s">
        <v>67</v>
      </c>
      <c r="B22" s="307">
        <v>43914</v>
      </c>
      <c r="C22" s="308">
        <v>6156</v>
      </c>
      <c r="D22" s="308">
        <v>27451</v>
      </c>
      <c r="E22" s="309">
        <v>77521</v>
      </c>
      <c r="K22" s="334"/>
      <c r="L22" s="334"/>
      <c r="M22" s="334"/>
      <c r="N22" s="334"/>
    </row>
    <row r="23" spans="1:14">
      <c r="A23" s="306" t="s">
        <v>68</v>
      </c>
      <c r="B23" s="322">
        <v>643</v>
      </c>
      <c r="C23" s="323">
        <v>72027</v>
      </c>
      <c r="D23" s="323">
        <v>4651</v>
      </c>
      <c r="E23" s="309">
        <v>77321</v>
      </c>
      <c r="K23" s="334"/>
      <c r="L23" s="334"/>
      <c r="M23" s="334"/>
      <c r="N23" s="334"/>
    </row>
    <row r="24" spans="1:14">
      <c r="A24" s="306" t="s">
        <v>71</v>
      </c>
      <c r="B24" s="307">
        <v>252</v>
      </c>
      <c r="C24" s="308">
        <v>3050</v>
      </c>
      <c r="D24" s="308">
        <v>416</v>
      </c>
      <c r="E24" s="309">
        <v>3718</v>
      </c>
      <c r="K24" s="334"/>
      <c r="L24" s="334"/>
      <c r="M24" s="334"/>
      <c r="N24" s="334"/>
    </row>
    <row r="25" spans="1:14">
      <c r="A25" s="306" t="s">
        <v>69</v>
      </c>
      <c r="B25" s="307">
        <v>1532</v>
      </c>
      <c r="C25" s="308">
        <v>1260</v>
      </c>
      <c r="D25" s="308">
        <v>1865</v>
      </c>
      <c r="E25" s="309">
        <v>4657</v>
      </c>
      <c r="K25" s="334"/>
      <c r="L25" s="334"/>
      <c r="M25" s="334"/>
      <c r="N25" s="334"/>
    </row>
    <row r="26" spans="1:14">
      <c r="A26" s="306" t="s">
        <v>72</v>
      </c>
      <c r="B26" s="307">
        <v>1809</v>
      </c>
      <c r="C26" s="308">
        <v>2512</v>
      </c>
      <c r="D26" s="308">
        <v>2184</v>
      </c>
      <c r="E26" s="309">
        <v>6505</v>
      </c>
      <c r="K26" s="334"/>
      <c r="L26" s="334"/>
      <c r="M26" s="334"/>
      <c r="N26" s="334"/>
    </row>
    <row r="27" spans="1:14">
      <c r="A27" s="317" t="s">
        <v>65</v>
      </c>
      <c r="B27" s="311">
        <v>48150</v>
      </c>
      <c r="C27" s="312">
        <v>85005</v>
      </c>
      <c r="D27" s="312">
        <v>36567</v>
      </c>
      <c r="E27" s="319">
        <v>169722</v>
      </c>
      <c r="K27" s="334"/>
      <c r="L27" s="334"/>
      <c r="M27" s="334"/>
      <c r="N27" s="334"/>
    </row>
    <row r="28" spans="1:14">
      <c r="A28" s="320" t="s">
        <v>78</v>
      </c>
      <c r="B28" s="307"/>
      <c r="C28" s="308"/>
      <c r="D28" s="308"/>
      <c r="E28" s="309">
        <v>0</v>
      </c>
      <c r="K28" s="334"/>
      <c r="L28" s="334"/>
      <c r="M28" s="334"/>
      <c r="N28" s="334"/>
    </row>
    <row r="29" spans="1:14">
      <c r="A29" s="306" t="s">
        <v>67</v>
      </c>
      <c r="B29" s="307" t="s">
        <v>79</v>
      </c>
      <c r="C29" s="308" t="s">
        <v>80</v>
      </c>
      <c r="D29" s="308">
        <v>46</v>
      </c>
      <c r="E29" s="309">
        <v>80</v>
      </c>
      <c r="K29" s="334"/>
      <c r="L29" s="334"/>
      <c r="M29" s="334"/>
      <c r="N29" s="334"/>
    </row>
    <row r="30" spans="1:14">
      <c r="A30" s="306" t="s">
        <v>81</v>
      </c>
      <c r="B30" s="324" t="s">
        <v>79</v>
      </c>
      <c r="C30" s="325" t="s">
        <v>79</v>
      </c>
      <c r="D30" s="325">
        <v>711</v>
      </c>
      <c r="E30" s="309">
        <v>1397</v>
      </c>
      <c r="K30" s="334"/>
      <c r="L30" s="334"/>
      <c r="M30" s="334"/>
      <c r="N30" s="334"/>
    </row>
    <row r="31" spans="1:14">
      <c r="A31" s="317" t="s">
        <v>65</v>
      </c>
      <c r="B31" s="311">
        <v>490</v>
      </c>
      <c r="C31" s="312">
        <v>230</v>
      </c>
      <c r="D31" s="312">
        <v>757</v>
      </c>
      <c r="E31" s="319">
        <v>1477</v>
      </c>
      <c r="K31" s="334"/>
      <c r="L31" s="334"/>
      <c r="M31" s="334"/>
      <c r="N31" s="334"/>
    </row>
    <row r="32" spans="1:14">
      <c r="A32" s="320" t="s">
        <v>82</v>
      </c>
      <c r="B32" s="307"/>
      <c r="C32" s="308"/>
      <c r="D32" s="308"/>
      <c r="E32" s="309">
        <v>0</v>
      </c>
      <c r="K32" s="334"/>
      <c r="L32" s="334"/>
      <c r="M32" s="334"/>
      <c r="N32" s="334"/>
    </row>
    <row r="33" spans="1:14">
      <c r="A33" s="306" t="s">
        <v>67</v>
      </c>
      <c r="B33" s="307">
        <v>22511</v>
      </c>
      <c r="C33" s="308">
        <v>1498</v>
      </c>
      <c r="D33" s="308">
        <v>7457</v>
      </c>
      <c r="E33" s="309">
        <v>31466</v>
      </c>
      <c r="K33" s="334"/>
      <c r="L33" s="334"/>
      <c r="M33" s="334"/>
      <c r="N33" s="334"/>
    </row>
    <row r="34" spans="1:14">
      <c r="A34" s="306" t="s">
        <v>68</v>
      </c>
      <c r="B34" s="307">
        <v>742</v>
      </c>
      <c r="C34" s="308">
        <v>37780</v>
      </c>
      <c r="D34" s="308">
        <v>2302</v>
      </c>
      <c r="E34" s="309">
        <v>40824</v>
      </c>
      <c r="K34" s="334"/>
      <c r="L34" s="334"/>
      <c r="M34" s="334"/>
      <c r="N34" s="334"/>
    </row>
    <row r="35" spans="1:14">
      <c r="A35" s="306" t="s">
        <v>71</v>
      </c>
      <c r="B35" s="307" t="s">
        <v>80</v>
      </c>
      <c r="C35" s="308" t="s">
        <v>79</v>
      </c>
      <c r="D35" s="308">
        <v>64</v>
      </c>
      <c r="E35" s="309">
        <v>1177</v>
      </c>
      <c r="K35" s="334"/>
      <c r="L35" s="334"/>
      <c r="M35" s="334"/>
      <c r="N35" s="334"/>
    </row>
    <row r="36" spans="1:14">
      <c r="A36" s="306" t="s">
        <v>69</v>
      </c>
      <c r="B36" s="307" t="s">
        <v>79</v>
      </c>
      <c r="C36" s="308" t="s">
        <v>79</v>
      </c>
      <c r="D36" s="308">
        <v>1272</v>
      </c>
      <c r="E36" s="309">
        <v>4258</v>
      </c>
      <c r="K36" s="334"/>
      <c r="L36" s="334"/>
      <c r="M36" s="334"/>
      <c r="N36" s="334"/>
    </row>
    <row r="37" spans="1:14">
      <c r="A37" s="306" t="s">
        <v>72</v>
      </c>
      <c r="B37" s="307">
        <v>3714</v>
      </c>
      <c r="C37" s="308">
        <v>4381</v>
      </c>
      <c r="D37" s="308">
        <v>2770</v>
      </c>
      <c r="E37" s="309">
        <v>10865</v>
      </c>
      <c r="K37" s="334"/>
      <c r="L37" s="334"/>
      <c r="M37" s="334"/>
      <c r="N37" s="334"/>
    </row>
    <row r="38" spans="1:14">
      <c r="A38" s="317" t="s">
        <v>65</v>
      </c>
      <c r="B38" s="311">
        <v>29269</v>
      </c>
      <c r="C38" s="312">
        <v>45456</v>
      </c>
      <c r="D38" s="312">
        <v>13865</v>
      </c>
      <c r="E38" s="319">
        <v>88590</v>
      </c>
      <c r="K38" s="334"/>
      <c r="L38" s="334"/>
      <c r="M38" s="334"/>
      <c r="N38" s="334"/>
    </row>
    <row r="39" spans="1:14">
      <c r="A39" s="320" t="s">
        <v>83</v>
      </c>
      <c r="B39" s="307"/>
      <c r="C39" s="308"/>
      <c r="D39" s="308"/>
      <c r="E39" s="309">
        <v>0</v>
      </c>
      <c r="K39" s="334"/>
      <c r="L39" s="334"/>
      <c r="M39" s="334"/>
      <c r="N39" s="334"/>
    </row>
    <row r="40" spans="1:14">
      <c r="A40" s="306" t="s">
        <v>67</v>
      </c>
      <c r="B40" s="307">
        <v>9231</v>
      </c>
      <c r="C40" s="308">
        <v>1786</v>
      </c>
      <c r="D40" s="308">
        <v>3697</v>
      </c>
      <c r="E40" s="309">
        <v>14714</v>
      </c>
      <c r="K40" s="334"/>
      <c r="L40" s="334"/>
      <c r="M40" s="334"/>
      <c r="N40" s="334"/>
    </row>
    <row r="41" spans="1:14">
      <c r="A41" s="306" t="s">
        <v>84</v>
      </c>
      <c r="B41" s="307">
        <v>414</v>
      </c>
      <c r="C41" s="308">
        <v>28168</v>
      </c>
      <c r="D41" s="308">
        <v>1414</v>
      </c>
      <c r="E41" s="309">
        <v>29996</v>
      </c>
      <c r="K41" s="334"/>
      <c r="L41" s="334"/>
      <c r="M41" s="334"/>
      <c r="N41" s="334"/>
    </row>
    <row r="42" spans="1:14">
      <c r="A42" s="306" t="s">
        <v>85</v>
      </c>
      <c r="B42" s="307">
        <v>11672</v>
      </c>
      <c r="C42" s="308">
        <v>3223</v>
      </c>
      <c r="D42" s="308">
        <v>6117</v>
      </c>
      <c r="E42" s="309">
        <v>21012</v>
      </c>
      <c r="K42" s="334"/>
      <c r="L42" s="334"/>
      <c r="M42" s="334"/>
      <c r="N42" s="334"/>
    </row>
    <row r="43" spans="1:14">
      <c r="A43" s="317" t="s">
        <v>65</v>
      </c>
      <c r="B43" s="311">
        <v>21317</v>
      </c>
      <c r="C43" s="312">
        <v>33177</v>
      </c>
      <c r="D43" s="312">
        <v>11228</v>
      </c>
      <c r="E43" s="319">
        <v>65722</v>
      </c>
      <c r="K43" s="334"/>
      <c r="L43" s="334"/>
      <c r="M43" s="334"/>
      <c r="N43" s="334"/>
    </row>
    <row r="44" spans="1:14">
      <c r="A44" s="320" t="s">
        <v>86</v>
      </c>
      <c r="B44" s="307"/>
      <c r="C44" s="308"/>
      <c r="D44" s="308"/>
      <c r="E44" s="309">
        <v>0</v>
      </c>
      <c r="K44" s="334"/>
      <c r="L44" s="334"/>
      <c r="M44" s="334"/>
      <c r="N44" s="334"/>
    </row>
    <row r="45" spans="1:14">
      <c r="A45" s="306" t="s">
        <v>67</v>
      </c>
      <c r="B45" s="307">
        <v>2050</v>
      </c>
      <c r="C45" s="308">
        <v>2657</v>
      </c>
      <c r="D45" s="308">
        <v>1756</v>
      </c>
      <c r="E45" s="309">
        <v>6463</v>
      </c>
      <c r="K45" s="334"/>
      <c r="L45" s="334"/>
      <c r="M45" s="334"/>
      <c r="N45" s="334"/>
    </row>
    <row r="46" spans="1:14">
      <c r="A46" s="306" t="s">
        <v>68</v>
      </c>
      <c r="B46" s="307">
        <v>11</v>
      </c>
      <c r="C46" s="308">
        <v>331</v>
      </c>
      <c r="D46" s="308">
        <v>37</v>
      </c>
      <c r="E46" s="309">
        <v>379</v>
      </c>
      <c r="K46" s="334"/>
      <c r="L46" s="334"/>
      <c r="M46" s="334"/>
      <c r="N46" s="334"/>
    </row>
    <row r="47" spans="1:14">
      <c r="A47" s="306" t="s">
        <v>71</v>
      </c>
      <c r="B47" s="307">
        <v>26</v>
      </c>
      <c r="C47" s="308">
        <v>29</v>
      </c>
      <c r="D47" s="308">
        <v>33</v>
      </c>
      <c r="E47" s="309">
        <v>88</v>
      </c>
      <c r="K47" s="334"/>
      <c r="L47" s="334"/>
      <c r="M47" s="334"/>
      <c r="N47" s="334"/>
    </row>
    <row r="48" spans="1:14">
      <c r="A48" s="317" t="s">
        <v>65</v>
      </c>
      <c r="B48" s="311">
        <v>2087</v>
      </c>
      <c r="C48" s="312">
        <v>3017</v>
      </c>
      <c r="D48" s="312">
        <v>1826</v>
      </c>
      <c r="E48" s="319">
        <v>6930</v>
      </c>
      <c r="K48" s="334"/>
      <c r="L48" s="334"/>
      <c r="M48" s="334"/>
      <c r="N48" s="334"/>
    </row>
    <row r="49" spans="1:14" ht="13.5" thickBot="1">
      <c r="A49" s="320" t="s">
        <v>87</v>
      </c>
      <c r="B49" s="307">
        <v>6</v>
      </c>
      <c r="C49" s="308">
        <v>10</v>
      </c>
      <c r="D49" s="308">
        <v>5</v>
      </c>
      <c r="E49" s="309">
        <v>21</v>
      </c>
      <c r="K49" s="334"/>
      <c r="L49" s="334"/>
      <c r="M49" s="334"/>
      <c r="N49" s="334"/>
    </row>
    <row r="50" spans="1:14" ht="26.25" thickBot="1">
      <c r="A50" s="326" t="s">
        <v>88</v>
      </c>
      <c r="B50" s="327">
        <v>107018</v>
      </c>
      <c r="C50" s="328">
        <v>177401</v>
      </c>
      <c r="D50" s="328">
        <v>70737</v>
      </c>
      <c r="E50" s="329">
        <v>355156</v>
      </c>
      <c r="K50" s="334"/>
      <c r="L50" s="334"/>
      <c r="M50" s="334"/>
      <c r="N50" s="334"/>
    </row>
    <row r="51" spans="1:14" ht="26.25" thickBot="1">
      <c r="A51" s="326" t="s">
        <v>89</v>
      </c>
      <c r="B51" s="327">
        <v>107024</v>
      </c>
      <c r="C51" s="328">
        <v>177411</v>
      </c>
      <c r="D51" s="328">
        <v>70742</v>
      </c>
      <c r="E51" s="329">
        <v>355177</v>
      </c>
      <c r="K51" s="334"/>
      <c r="L51" s="334"/>
      <c r="M51" s="334"/>
      <c r="N51" s="334"/>
    </row>
    <row r="54" spans="1:14">
      <c r="A54" s="170" t="s">
        <v>90</v>
      </c>
    </row>
    <row r="55" spans="1:14" ht="14.25">
      <c r="A55" s="205" t="s">
        <v>91</v>
      </c>
    </row>
    <row r="56" spans="1:14" ht="14.25">
      <c r="A56" s="296" t="s">
        <v>92</v>
      </c>
    </row>
  </sheetData>
  <conditionalFormatting sqref="B5:E51">
    <cfRule type="cellIs" dxfId="2" priority="1" operator="between">
      <formula>1</formula>
      <formula>4</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6"/>
  <sheetViews>
    <sheetView workbookViewId="0">
      <selection activeCell="K25" sqref="K25"/>
    </sheetView>
  </sheetViews>
  <sheetFormatPr defaultRowHeight="12.75"/>
  <cols>
    <col min="1" max="1" width="53.85546875" customWidth="1"/>
    <col min="4" max="4" width="15" customWidth="1"/>
  </cols>
  <sheetData>
    <row r="1" spans="1:14" ht="18">
      <c r="A1" s="168" t="s">
        <v>99</v>
      </c>
      <c r="B1" s="168"/>
      <c r="C1" s="169"/>
      <c r="D1" s="169"/>
      <c r="E1" s="169"/>
      <c r="F1" s="169"/>
    </row>
    <row r="2" spans="1:14" ht="18">
      <c r="A2" s="168" t="s">
        <v>56</v>
      </c>
      <c r="B2" s="168"/>
      <c r="C2" s="169"/>
      <c r="D2" s="169"/>
      <c r="E2" s="169"/>
      <c r="F2" s="169"/>
    </row>
    <row r="3" spans="1:14" ht="13.5" thickBot="1"/>
    <row r="4" spans="1:14" ht="64.5" thickTop="1">
      <c r="A4" s="297" t="s">
        <v>57</v>
      </c>
      <c r="B4" s="298" t="s">
        <v>58</v>
      </c>
      <c r="C4" s="299" t="s">
        <v>59</v>
      </c>
      <c r="D4" s="299" t="s">
        <v>60</v>
      </c>
      <c r="E4" s="300" t="s">
        <v>61</v>
      </c>
    </row>
    <row r="5" spans="1:14" ht="13.5" customHeight="1">
      <c r="A5" s="301" t="s">
        <v>62</v>
      </c>
      <c r="B5" s="302"/>
      <c r="C5" s="303"/>
      <c r="D5" s="304"/>
      <c r="E5" s="305"/>
    </row>
    <row r="6" spans="1:14">
      <c r="A6" s="306" t="s">
        <v>63</v>
      </c>
      <c r="B6" s="307">
        <v>1525</v>
      </c>
      <c r="C6" s="308">
        <v>3059</v>
      </c>
      <c r="D6" s="308">
        <v>1683</v>
      </c>
      <c r="E6" s="309">
        <v>6267</v>
      </c>
      <c r="K6" s="334"/>
      <c r="L6" s="334"/>
      <c r="M6" s="334"/>
      <c r="N6" s="334"/>
    </row>
    <row r="7" spans="1:14">
      <c r="A7" s="306" t="s">
        <v>64</v>
      </c>
      <c r="B7" s="307">
        <v>341</v>
      </c>
      <c r="C7" s="308">
        <v>339</v>
      </c>
      <c r="D7" s="308">
        <v>380</v>
      </c>
      <c r="E7" s="309">
        <v>1060</v>
      </c>
      <c r="K7" s="334"/>
      <c r="L7" s="334"/>
      <c r="M7" s="334"/>
      <c r="N7" s="334"/>
    </row>
    <row r="8" spans="1:14">
      <c r="A8" s="310" t="s">
        <v>65</v>
      </c>
      <c r="B8" s="311">
        <v>1866</v>
      </c>
      <c r="C8" s="312">
        <v>3398</v>
      </c>
      <c r="D8" s="313">
        <v>2063</v>
      </c>
      <c r="E8" s="314">
        <v>7327</v>
      </c>
      <c r="K8" s="334"/>
      <c r="L8" s="334"/>
      <c r="M8" s="334"/>
      <c r="N8" s="334"/>
    </row>
    <row r="9" spans="1:14">
      <c r="A9" s="315" t="s">
        <v>66</v>
      </c>
      <c r="B9" s="316"/>
      <c r="C9" s="308"/>
      <c r="D9" s="316"/>
      <c r="E9" s="309"/>
      <c r="K9" s="334"/>
      <c r="L9" s="334"/>
      <c r="M9" s="334"/>
      <c r="N9" s="334"/>
    </row>
    <row r="10" spans="1:14">
      <c r="A10" s="306" t="s">
        <v>67</v>
      </c>
      <c r="B10" s="307">
        <v>1677</v>
      </c>
      <c r="C10" s="307">
        <v>1110</v>
      </c>
      <c r="D10" s="308">
        <v>1252</v>
      </c>
      <c r="E10" s="330">
        <v>4039</v>
      </c>
      <c r="K10" s="334"/>
      <c r="L10" s="334"/>
      <c r="M10" s="334"/>
      <c r="N10" s="334"/>
    </row>
    <row r="11" spans="1:14">
      <c r="A11" s="306" t="s">
        <v>68</v>
      </c>
      <c r="B11" s="331">
        <v>21</v>
      </c>
      <c r="C11" s="332">
        <v>1445</v>
      </c>
      <c r="D11" s="332">
        <v>264</v>
      </c>
      <c r="E11" s="333">
        <v>1730</v>
      </c>
      <c r="K11" s="334"/>
      <c r="L11" s="334"/>
      <c r="M11" s="334"/>
      <c r="N11" s="334"/>
    </row>
    <row r="12" spans="1:14">
      <c r="A12" s="306" t="s">
        <v>69</v>
      </c>
      <c r="B12" s="307">
        <v>6</v>
      </c>
      <c r="C12" s="308">
        <v>15</v>
      </c>
      <c r="D12" s="308">
        <v>5</v>
      </c>
      <c r="E12" s="309">
        <v>26</v>
      </c>
      <c r="K12" s="334"/>
      <c r="L12" s="334"/>
      <c r="M12" s="334"/>
      <c r="N12" s="334"/>
    </row>
    <row r="13" spans="1:14">
      <c r="A13" s="317" t="s">
        <v>65</v>
      </c>
      <c r="B13" s="311">
        <v>1704</v>
      </c>
      <c r="C13" s="312">
        <v>2570</v>
      </c>
      <c r="D13" s="318">
        <v>1521</v>
      </c>
      <c r="E13" s="319">
        <v>5795</v>
      </c>
      <c r="K13" s="334"/>
      <c r="L13" s="334"/>
      <c r="M13" s="334"/>
      <c r="N13" s="334"/>
    </row>
    <row r="14" spans="1:14">
      <c r="A14" s="320" t="s">
        <v>98</v>
      </c>
      <c r="B14" s="307"/>
      <c r="C14" s="308"/>
      <c r="D14" s="308"/>
      <c r="E14" s="321"/>
      <c r="K14" s="334"/>
      <c r="L14" s="334"/>
      <c r="M14" s="334"/>
      <c r="N14" s="334"/>
    </row>
    <row r="15" spans="1:14">
      <c r="A15" s="306" t="s">
        <v>67</v>
      </c>
      <c r="B15" s="307">
        <v>2094</v>
      </c>
      <c r="C15" s="308">
        <v>570</v>
      </c>
      <c r="D15" s="308">
        <v>1963</v>
      </c>
      <c r="E15" s="309">
        <v>4627</v>
      </c>
      <c r="K15" s="334"/>
      <c r="L15" s="334"/>
      <c r="M15" s="334"/>
      <c r="N15" s="334"/>
    </row>
    <row r="16" spans="1:14">
      <c r="A16" s="306" t="s">
        <v>68</v>
      </c>
      <c r="B16" s="307">
        <v>61</v>
      </c>
      <c r="C16" s="308">
        <v>3610</v>
      </c>
      <c r="D16" s="308">
        <v>312</v>
      </c>
      <c r="E16" s="309">
        <v>3983</v>
      </c>
      <c r="K16" s="334"/>
      <c r="L16" s="334"/>
      <c r="M16" s="334"/>
      <c r="N16" s="334"/>
    </row>
    <row r="17" spans="1:14">
      <c r="A17" s="306" t="s">
        <v>71</v>
      </c>
      <c r="B17" s="307">
        <v>40</v>
      </c>
      <c r="C17" s="308">
        <v>344</v>
      </c>
      <c r="D17" s="308">
        <v>76</v>
      </c>
      <c r="E17" s="309">
        <v>460</v>
      </c>
      <c r="K17" s="334"/>
      <c r="L17" s="334"/>
      <c r="M17" s="334"/>
      <c r="N17" s="334"/>
    </row>
    <row r="18" spans="1:14">
      <c r="A18" s="306" t="s">
        <v>69</v>
      </c>
      <c r="B18" s="307">
        <v>39</v>
      </c>
      <c r="C18" s="308">
        <v>44</v>
      </c>
      <c r="D18" s="308">
        <v>56</v>
      </c>
      <c r="E18" s="309">
        <v>139</v>
      </c>
      <c r="K18" s="334"/>
      <c r="L18" s="334"/>
      <c r="M18" s="334"/>
      <c r="N18" s="334"/>
    </row>
    <row r="19" spans="1:14">
      <c r="A19" s="306" t="s">
        <v>72</v>
      </c>
      <c r="B19" s="307">
        <v>160</v>
      </c>
      <c r="C19" s="308">
        <v>229</v>
      </c>
      <c r="D19" s="308">
        <v>219</v>
      </c>
      <c r="E19" s="309">
        <v>608</v>
      </c>
      <c r="K19" s="334"/>
      <c r="L19" s="334"/>
      <c r="M19" s="334"/>
      <c r="N19" s="334"/>
    </row>
    <row r="20" spans="1:14">
      <c r="A20" s="317" t="s">
        <v>65</v>
      </c>
      <c r="B20" s="311">
        <v>2394</v>
      </c>
      <c r="C20" s="312">
        <v>4797</v>
      </c>
      <c r="D20" s="312">
        <v>2626</v>
      </c>
      <c r="E20" s="319">
        <v>9817</v>
      </c>
      <c r="K20" s="334"/>
      <c r="L20" s="334"/>
      <c r="M20" s="334"/>
      <c r="N20" s="334"/>
    </row>
    <row r="21" spans="1:14">
      <c r="A21" s="320" t="s">
        <v>77</v>
      </c>
      <c r="B21" s="307"/>
      <c r="C21" s="308"/>
      <c r="D21" s="308"/>
      <c r="E21" s="309"/>
      <c r="K21" s="334"/>
      <c r="L21" s="334"/>
      <c r="M21" s="334"/>
      <c r="N21" s="334"/>
    </row>
    <row r="22" spans="1:14">
      <c r="A22" s="306" t="s">
        <v>67</v>
      </c>
      <c r="B22" s="307">
        <v>45569</v>
      </c>
      <c r="C22" s="308">
        <v>6120</v>
      </c>
      <c r="D22" s="308">
        <v>26206</v>
      </c>
      <c r="E22" s="309">
        <v>77895</v>
      </c>
      <c r="K22" s="334"/>
      <c r="L22" s="334"/>
      <c r="M22" s="334"/>
      <c r="N22" s="334"/>
    </row>
    <row r="23" spans="1:14">
      <c r="A23" s="306" t="s">
        <v>68</v>
      </c>
      <c r="B23" s="322">
        <v>650</v>
      </c>
      <c r="C23" s="323">
        <v>73209</v>
      </c>
      <c r="D23" s="323">
        <v>4157</v>
      </c>
      <c r="E23" s="309">
        <v>78016</v>
      </c>
      <c r="K23" s="334"/>
      <c r="L23" s="334"/>
      <c r="M23" s="334"/>
      <c r="N23" s="334"/>
    </row>
    <row r="24" spans="1:14">
      <c r="A24" s="306" t="s">
        <v>71</v>
      </c>
      <c r="B24" s="307">
        <v>251</v>
      </c>
      <c r="C24" s="308">
        <v>3110</v>
      </c>
      <c r="D24" s="308">
        <v>356</v>
      </c>
      <c r="E24" s="309">
        <v>3717</v>
      </c>
      <c r="K24" s="334"/>
      <c r="L24" s="334"/>
      <c r="M24" s="334"/>
      <c r="N24" s="334"/>
    </row>
    <row r="25" spans="1:14">
      <c r="A25" s="306" t="s">
        <v>69</v>
      </c>
      <c r="B25" s="307">
        <v>1620</v>
      </c>
      <c r="C25" s="308">
        <v>1260</v>
      </c>
      <c r="D25" s="308">
        <v>1855</v>
      </c>
      <c r="E25" s="309">
        <v>4735</v>
      </c>
      <c r="K25" s="334"/>
      <c r="L25" s="334"/>
      <c r="M25" s="334"/>
      <c r="N25" s="334"/>
    </row>
    <row r="26" spans="1:14">
      <c r="A26" s="306" t="s">
        <v>72</v>
      </c>
      <c r="B26" s="307">
        <v>1865</v>
      </c>
      <c r="C26" s="308">
        <v>2496</v>
      </c>
      <c r="D26" s="308">
        <v>2071</v>
      </c>
      <c r="E26" s="309">
        <v>6432</v>
      </c>
      <c r="K26" s="334"/>
      <c r="L26" s="334"/>
      <c r="M26" s="334"/>
      <c r="N26" s="334"/>
    </row>
    <row r="27" spans="1:14">
      <c r="A27" s="317" t="s">
        <v>65</v>
      </c>
      <c r="B27" s="311">
        <v>49955</v>
      </c>
      <c r="C27" s="312">
        <v>86195</v>
      </c>
      <c r="D27" s="312">
        <v>34645</v>
      </c>
      <c r="E27" s="319">
        <v>170795</v>
      </c>
      <c r="K27" s="334"/>
      <c r="L27" s="334"/>
      <c r="M27" s="334"/>
      <c r="N27" s="334"/>
    </row>
    <row r="28" spans="1:14">
      <c r="A28" s="320" t="s">
        <v>78</v>
      </c>
      <c r="B28" s="307"/>
      <c r="C28" s="308"/>
      <c r="D28" s="308"/>
      <c r="E28" s="309"/>
      <c r="K28" s="334"/>
      <c r="L28" s="334"/>
      <c r="M28" s="334"/>
      <c r="N28" s="334"/>
    </row>
    <row r="29" spans="1:14" ht="13.5">
      <c r="A29" s="306" t="s">
        <v>67</v>
      </c>
      <c r="B29" s="307">
        <v>27</v>
      </c>
      <c r="C29" s="335" t="s">
        <v>80</v>
      </c>
      <c r="D29" s="308" t="s">
        <v>79</v>
      </c>
      <c r="E29" s="309">
        <v>67</v>
      </c>
      <c r="K29" s="334"/>
      <c r="L29" s="334"/>
      <c r="M29" s="334"/>
      <c r="N29" s="334"/>
    </row>
    <row r="30" spans="1:14">
      <c r="A30" s="306" t="s">
        <v>81</v>
      </c>
      <c r="B30" s="324">
        <v>532</v>
      </c>
      <c r="C30" s="325" t="s">
        <v>79</v>
      </c>
      <c r="D30" s="325" t="s">
        <v>79</v>
      </c>
      <c r="E30" s="309">
        <v>1463</v>
      </c>
      <c r="K30" s="334"/>
      <c r="L30" s="334"/>
      <c r="M30" s="334"/>
      <c r="N30" s="334"/>
    </row>
    <row r="31" spans="1:14">
      <c r="A31" s="317" t="s">
        <v>65</v>
      </c>
      <c r="B31" s="311">
        <v>559</v>
      </c>
      <c r="C31" s="312">
        <v>225</v>
      </c>
      <c r="D31" s="312">
        <v>746</v>
      </c>
      <c r="E31" s="319">
        <v>1530</v>
      </c>
      <c r="K31" s="334"/>
      <c r="L31" s="334"/>
      <c r="M31" s="334"/>
      <c r="N31" s="334"/>
    </row>
    <row r="32" spans="1:14">
      <c r="A32" s="320" t="s">
        <v>82</v>
      </c>
      <c r="B32" s="307"/>
      <c r="C32" s="308"/>
      <c r="D32" s="308"/>
      <c r="E32" s="309"/>
      <c r="K32" s="334"/>
      <c r="L32" s="334"/>
      <c r="M32" s="334"/>
      <c r="N32" s="334"/>
    </row>
    <row r="33" spans="1:14">
      <c r="A33" s="306" t="s">
        <v>67</v>
      </c>
      <c r="B33" s="307">
        <v>23072</v>
      </c>
      <c r="C33" s="308">
        <v>1457</v>
      </c>
      <c r="D33" s="308">
        <v>6949</v>
      </c>
      <c r="E33" s="309">
        <v>31478</v>
      </c>
      <c r="K33" s="334"/>
      <c r="L33" s="334"/>
      <c r="M33" s="334"/>
      <c r="N33" s="334"/>
    </row>
    <row r="34" spans="1:14">
      <c r="A34" s="306" t="s">
        <v>68</v>
      </c>
      <c r="B34" s="307">
        <v>724</v>
      </c>
      <c r="C34" s="308">
        <v>37378</v>
      </c>
      <c r="D34" s="308">
        <v>2041</v>
      </c>
      <c r="E34" s="309">
        <v>40143</v>
      </c>
      <c r="K34" s="334"/>
      <c r="L34" s="334"/>
      <c r="M34" s="334"/>
      <c r="N34" s="334"/>
    </row>
    <row r="35" spans="1:14">
      <c r="A35" s="306" t="s">
        <v>71</v>
      </c>
      <c r="B35" s="307">
        <v>5</v>
      </c>
      <c r="C35" s="308">
        <v>1042</v>
      </c>
      <c r="D35" s="308">
        <v>66</v>
      </c>
      <c r="E35" s="309">
        <v>1113</v>
      </c>
      <c r="K35" s="334"/>
      <c r="L35" s="334"/>
      <c r="M35" s="334"/>
      <c r="N35" s="334"/>
    </row>
    <row r="36" spans="1:14">
      <c r="A36" s="306" t="s">
        <v>69</v>
      </c>
      <c r="B36" s="307">
        <v>1656</v>
      </c>
      <c r="C36" s="308">
        <v>592</v>
      </c>
      <c r="D36" s="308">
        <v>992</v>
      </c>
      <c r="E36" s="309">
        <v>3240</v>
      </c>
      <c r="K36" s="334"/>
      <c r="L36" s="334"/>
      <c r="M36" s="334"/>
      <c r="N36" s="334"/>
    </row>
    <row r="37" spans="1:14">
      <c r="A37" s="306" t="s">
        <v>72</v>
      </c>
      <c r="B37" s="307">
        <v>3741</v>
      </c>
      <c r="C37" s="308">
        <v>4326</v>
      </c>
      <c r="D37" s="308">
        <v>2547</v>
      </c>
      <c r="E37" s="309">
        <v>10614</v>
      </c>
      <c r="K37" s="334"/>
      <c r="L37" s="334"/>
      <c r="M37" s="334"/>
      <c r="N37" s="334"/>
    </row>
    <row r="38" spans="1:14">
      <c r="A38" s="317" t="s">
        <v>65</v>
      </c>
      <c r="B38" s="311">
        <v>29198</v>
      </c>
      <c r="C38" s="312">
        <v>44795</v>
      </c>
      <c r="D38" s="312">
        <v>12595</v>
      </c>
      <c r="E38" s="319">
        <v>86588</v>
      </c>
      <c r="K38" s="334"/>
      <c r="L38" s="334"/>
      <c r="M38" s="334"/>
      <c r="N38" s="334"/>
    </row>
    <row r="39" spans="1:14">
      <c r="A39" s="320" t="s">
        <v>83</v>
      </c>
      <c r="B39" s="307"/>
      <c r="C39" s="308"/>
      <c r="D39" s="308"/>
      <c r="E39" s="309"/>
      <c r="K39" s="334"/>
      <c r="L39" s="334"/>
      <c r="M39" s="334"/>
      <c r="N39" s="334"/>
    </row>
    <row r="40" spans="1:14">
      <c r="A40" s="306" t="s">
        <v>67</v>
      </c>
      <c r="B40" s="307">
        <v>9457</v>
      </c>
      <c r="C40" s="308">
        <v>1697</v>
      </c>
      <c r="D40" s="308">
        <v>3514</v>
      </c>
      <c r="E40" s="309">
        <v>14668</v>
      </c>
      <c r="K40" s="334"/>
      <c r="L40" s="334"/>
      <c r="M40" s="334"/>
      <c r="N40" s="334"/>
    </row>
    <row r="41" spans="1:14">
      <c r="A41" s="306" t="s">
        <v>84</v>
      </c>
      <c r="B41" s="307">
        <v>420</v>
      </c>
      <c r="C41" s="308">
        <v>28120</v>
      </c>
      <c r="D41" s="308">
        <v>1208</v>
      </c>
      <c r="E41" s="309">
        <v>29748</v>
      </c>
      <c r="K41" s="334"/>
      <c r="L41" s="334"/>
      <c r="M41" s="334"/>
      <c r="N41" s="334"/>
    </row>
    <row r="42" spans="1:14">
      <c r="A42" s="306" t="s">
        <v>85</v>
      </c>
      <c r="B42" s="307">
        <v>11828</v>
      </c>
      <c r="C42" s="308">
        <v>3173</v>
      </c>
      <c r="D42" s="308">
        <v>5896</v>
      </c>
      <c r="E42" s="309">
        <v>20897</v>
      </c>
      <c r="K42" s="334"/>
      <c r="L42" s="334"/>
      <c r="M42" s="334"/>
      <c r="N42" s="334"/>
    </row>
    <row r="43" spans="1:14">
      <c r="A43" s="317" t="s">
        <v>65</v>
      </c>
      <c r="B43" s="311">
        <v>21705</v>
      </c>
      <c r="C43" s="312">
        <v>32990</v>
      </c>
      <c r="D43" s="312">
        <v>10618</v>
      </c>
      <c r="E43" s="319">
        <v>65313</v>
      </c>
      <c r="K43" s="334"/>
      <c r="L43" s="334"/>
      <c r="M43" s="334"/>
      <c r="N43" s="334"/>
    </row>
    <row r="44" spans="1:14">
      <c r="A44" s="320" t="s">
        <v>86</v>
      </c>
      <c r="B44" s="307"/>
      <c r="C44" s="308"/>
      <c r="D44" s="308"/>
      <c r="E44" s="309"/>
      <c r="K44" s="334"/>
      <c r="L44" s="334"/>
      <c r="M44" s="334"/>
      <c r="N44" s="334"/>
    </row>
    <row r="45" spans="1:14">
      <c r="A45" s="306" t="s">
        <v>67</v>
      </c>
      <c r="B45" s="307">
        <v>2059</v>
      </c>
      <c r="C45" s="308">
        <v>2531</v>
      </c>
      <c r="D45" s="308">
        <v>1627</v>
      </c>
      <c r="E45" s="309">
        <v>6217</v>
      </c>
      <c r="K45" s="334"/>
      <c r="L45" s="334"/>
      <c r="M45" s="334"/>
      <c r="N45" s="334"/>
    </row>
    <row r="46" spans="1:14">
      <c r="A46" s="306" t="s">
        <v>68</v>
      </c>
      <c r="B46" s="307">
        <v>9</v>
      </c>
      <c r="C46" s="308">
        <v>314</v>
      </c>
      <c r="D46" s="308">
        <v>29</v>
      </c>
      <c r="E46" s="309">
        <v>352</v>
      </c>
      <c r="K46" s="334"/>
      <c r="L46" s="334"/>
      <c r="M46" s="334"/>
      <c r="N46" s="334"/>
    </row>
    <row r="47" spans="1:14">
      <c r="A47" s="306" t="s">
        <v>71</v>
      </c>
      <c r="B47" s="307">
        <v>26</v>
      </c>
      <c r="C47" s="308">
        <v>28</v>
      </c>
      <c r="D47" s="308">
        <v>30</v>
      </c>
      <c r="E47" s="309">
        <v>84</v>
      </c>
      <c r="K47" s="334"/>
      <c r="L47" s="334"/>
      <c r="M47" s="334"/>
      <c r="N47" s="334"/>
    </row>
    <row r="48" spans="1:14">
      <c r="A48" s="317" t="s">
        <v>65</v>
      </c>
      <c r="B48" s="311">
        <v>2094</v>
      </c>
      <c r="C48" s="312">
        <v>2873</v>
      </c>
      <c r="D48" s="312">
        <v>1686</v>
      </c>
      <c r="E48" s="319">
        <v>6653</v>
      </c>
      <c r="K48" s="334"/>
      <c r="L48" s="334"/>
      <c r="M48" s="334"/>
      <c r="N48" s="334"/>
    </row>
    <row r="49" spans="1:14" ht="13.5" thickBot="1">
      <c r="A49" s="320" t="s">
        <v>87</v>
      </c>
      <c r="B49" s="307">
        <v>6</v>
      </c>
      <c r="C49" s="308">
        <v>13</v>
      </c>
      <c r="D49" s="308">
        <v>9</v>
      </c>
      <c r="E49" s="309">
        <v>28</v>
      </c>
      <c r="K49" s="334"/>
      <c r="L49" s="334"/>
      <c r="M49" s="334"/>
      <c r="N49" s="334"/>
    </row>
    <row r="50" spans="1:14" ht="26.25" thickBot="1">
      <c r="A50" s="326" t="s">
        <v>88</v>
      </c>
      <c r="B50" s="327">
        <v>109475</v>
      </c>
      <c r="C50" s="328">
        <v>177843</v>
      </c>
      <c r="D50" s="328">
        <v>66500</v>
      </c>
      <c r="E50" s="329">
        <v>353818</v>
      </c>
      <c r="K50" s="334"/>
      <c r="L50" s="334"/>
      <c r="M50" s="334"/>
      <c r="N50" s="334"/>
    </row>
    <row r="51" spans="1:14" ht="26.25" thickBot="1">
      <c r="A51" s="326" t="s">
        <v>89</v>
      </c>
      <c r="B51" s="327">
        <v>109481</v>
      </c>
      <c r="C51" s="328">
        <v>177856</v>
      </c>
      <c r="D51" s="328">
        <v>66509</v>
      </c>
      <c r="E51" s="329">
        <v>353846</v>
      </c>
      <c r="K51" s="334"/>
      <c r="L51" s="334"/>
      <c r="M51" s="334"/>
      <c r="N51" s="334"/>
    </row>
    <row r="54" spans="1:14">
      <c r="A54" s="170" t="s">
        <v>90</v>
      </c>
    </row>
    <row r="55" spans="1:14" ht="14.25">
      <c r="A55" s="205" t="s">
        <v>91</v>
      </c>
    </row>
    <row r="56" spans="1:14" ht="14.25">
      <c r="A56" s="296" t="s">
        <v>92</v>
      </c>
    </row>
  </sheetData>
  <conditionalFormatting sqref="B5:E28 B29 D29:E29 B30:E51">
    <cfRule type="cellIs" dxfId="1" priority="1" operator="between">
      <formula>1</formula>
      <formula>4</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zoomScale="80" zoomScaleNormal="80" workbookViewId="0">
      <selection activeCell="H23" sqref="H23"/>
    </sheetView>
  </sheetViews>
  <sheetFormatPr defaultRowHeight="12.75"/>
  <cols>
    <col min="1" max="1" width="64" customWidth="1"/>
    <col min="2" max="2" width="12.140625" bestFit="1" customWidth="1"/>
    <col min="3" max="3" width="9.5703125" bestFit="1" customWidth="1"/>
    <col min="4" max="4" width="16.5703125" customWidth="1"/>
    <col min="5" max="6" width="9.5703125" bestFit="1" customWidth="1"/>
    <col min="8" max="8" width="44.28515625" customWidth="1"/>
  </cols>
  <sheetData>
    <row r="1" spans="1:8" ht="18">
      <c r="A1" s="168" t="s">
        <v>100</v>
      </c>
      <c r="B1" s="168"/>
      <c r="C1" s="169"/>
      <c r="D1" s="169"/>
      <c r="E1" s="169"/>
      <c r="F1" s="169"/>
    </row>
    <row r="2" spans="1:8" ht="18">
      <c r="A2" s="168" t="s">
        <v>56</v>
      </c>
      <c r="B2" s="168"/>
      <c r="C2" s="169"/>
      <c r="D2" s="169"/>
      <c r="E2" s="169"/>
      <c r="F2" s="169"/>
    </row>
    <row r="3" spans="1:8" ht="13.5" thickBot="1">
      <c r="A3" s="170"/>
      <c r="B3" s="170"/>
      <c r="C3" s="171"/>
      <c r="D3" s="171"/>
      <c r="E3" s="171"/>
      <c r="F3" s="171"/>
    </row>
    <row r="4" spans="1:8" ht="74.25" customHeight="1" thickTop="1">
      <c r="A4" s="265" t="s">
        <v>57</v>
      </c>
      <c r="B4" s="266" t="s">
        <v>58</v>
      </c>
      <c r="C4" s="267" t="s">
        <v>59</v>
      </c>
      <c r="D4" s="267" t="s">
        <v>101</v>
      </c>
      <c r="E4" s="268" t="s">
        <v>61</v>
      </c>
    </row>
    <row r="5" spans="1:8">
      <c r="A5" s="269" t="s">
        <v>62</v>
      </c>
      <c r="B5" s="270"/>
      <c r="C5" s="264"/>
      <c r="D5" s="271"/>
      <c r="E5" s="272"/>
      <c r="F5" s="208"/>
      <c r="G5" s="208"/>
      <c r="H5" s="170"/>
    </row>
    <row r="6" spans="1:8">
      <c r="A6" s="273" t="s">
        <v>63</v>
      </c>
      <c r="B6" s="274">
        <v>1499</v>
      </c>
      <c r="C6" s="275">
        <v>3099</v>
      </c>
      <c r="D6" s="275">
        <v>1752</v>
      </c>
      <c r="E6" s="276">
        <v>6350</v>
      </c>
      <c r="F6" s="171"/>
      <c r="G6" s="171"/>
      <c r="H6" s="171"/>
    </row>
    <row r="7" spans="1:8" ht="12.75" customHeight="1">
      <c r="A7" s="273" t="s">
        <v>64</v>
      </c>
      <c r="B7" s="274">
        <v>383</v>
      </c>
      <c r="C7" s="275">
        <v>307</v>
      </c>
      <c r="D7" s="275">
        <v>424</v>
      </c>
      <c r="E7" s="276">
        <v>1114</v>
      </c>
      <c r="F7" s="263"/>
      <c r="G7" s="263"/>
      <c r="H7" s="263"/>
    </row>
    <row r="8" spans="1:8">
      <c r="A8" s="277" t="s">
        <v>65</v>
      </c>
      <c r="B8" s="278">
        <v>1882</v>
      </c>
      <c r="C8" s="279">
        <v>3406</v>
      </c>
      <c r="D8" s="279">
        <v>2176</v>
      </c>
      <c r="E8" s="280">
        <v>7464</v>
      </c>
    </row>
    <row r="9" spans="1:8">
      <c r="A9" s="281" t="s">
        <v>66</v>
      </c>
      <c r="B9" s="282"/>
      <c r="C9" s="275"/>
      <c r="D9" s="282"/>
      <c r="E9" s="276"/>
    </row>
    <row r="10" spans="1:8">
      <c r="A10" s="273" t="s">
        <v>67</v>
      </c>
      <c r="B10" s="274">
        <v>1856</v>
      </c>
      <c r="C10" s="274">
        <v>1141</v>
      </c>
      <c r="D10" s="275">
        <v>1113</v>
      </c>
      <c r="E10" s="283">
        <v>4110</v>
      </c>
    </row>
    <row r="11" spans="1:8">
      <c r="A11" s="273" t="s">
        <v>68</v>
      </c>
      <c r="B11" s="274">
        <v>40</v>
      </c>
      <c r="C11" s="275">
        <v>1465</v>
      </c>
      <c r="D11" s="275">
        <v>220</v>
      </c>
      <c r="E11" s="276">
        <v>1725</v>
      </c>
    </row>
    <row r="12" spans="1:8">
      <c r="A12" s="284" t="s">
        <v>65</v>
      </c>
      <c r="B12" s="278">
        <v>1896</v>
      </c>
      <c r="C12" s="279">
        <v>2606</v>
      </c>
      <c r="D12" s="279">
        <v>1333</v>
      </c>
      <c r="E12" s="280">
        <v>5835</v>
      </c>
    </row>
    <row r="13" spans="1:8">
      <c r="A13" s="285" t="s">
        <v>98</v>
      </c>
      <c r="B13" s="274"/>
      <c r="C13" s="275"/>
      <c r="D13" s="275"/>
      <c r="E13" s="286"/>
    </row>
    <row r="14" spans="1:8">
      <c r="A14" s="273" t="s">
        <v>67</v>
      </c>
      <c r="B14" s="274">
        <v>2214</v>
      </c>
      <c r="C14" s="275">
        <v>539</v>
      </c>
      <c r="D14" s="275">
        <v>1838</v>
      </c>
      <c r="E14" s="276">
        <v>4591</v>
      </c>
    </row>
    <row r="15" spans="1:8">
      <c r="A15" s="273" t="s">
        <v>68</v>
      </c>
      <c r="B15" s="274">
        <v>81</v>
      </c>
      <c r="C15" s="275">
        <v>3623</v>
      </c>
      <c r="D15" s="275">
        <v>296</v>
      </c>
      <c r="E15" s="276">
        <v>4000</v>
      </c>
    </row>
    <row r="16" spans="1:8">
      <c r="A16" s="273" t="s">
        <v>71</v>
      </c>
      <c r="B16" s="274">
        <v>34</v>
      </c>
      <c r="C16" s="275">
        <v>333</v>
      </c>
      <c r="D16" s="275">
        <v>101</v>
      </c>
      <c r="E16" s="276">
        <v>468</v>
      </c>
    </row>
    <row r="17" spans="1:5">
      <c r="A17" s="273" t="s">
        <v>69</v>
      </c>
      <c r="B17" s="274">
        <v>47</v>
      </c>
      <c r="C17" s="275">
        <v>52</v>
      </c>
      <c r="D17" s="275">
        <v>51</v>
      </c>
      <c r="E17" s="276">
        <v>150</v>
      </c>
    </row>
    <row r="18" spans="1:5">
      <c r="A18" s="273" t="s">
        <v>72</v>
      </c>
      <c r="B18" s="274">
        <v>179</v>
      </c>
      <c r="C18" s="275">
        <v>220</v>
      </c>
      <c r="D18" s="275">
        <v>205</v>
      </c>
      <c r="E18" s="276">
        <v>604</v>
      </c>
    </row>
    <row r="19" spans="1:5">
      <c r="A19" s="284" t="s">
        <v>65</v>
      </c>
      <c r="B19" s="278">
        <v>2555</v>
      </c>
      <c r="C19" s="279">
        <v>4767</v>
      </c>
      <c r="D19" s="279">
        <v>2491</v>
      </c>
      <c r="E19" s="280">
        <v>9813</v>
      </c>
    </row>
    <row r="20" spans="1:5">
      <c r="A20" s="285" t="s">
        <v>77</v>
      </c>
      <c r="B20" s="274"/>
      <c r="C20" s="275"/>
      <c r="D20" s="275"/>
      <c r="E20" s="276"/>
    </row>
    <row r="21" spans="1:5">
      <c r="A21" s="273" t="s">
        <v>67</v>
      </c>
      <c r="B21" s="274">
        <v>46896</v>
      </c>
      <c r="C21" s="275">
        <v>6281</v>
      </c>
      <c r="D21" s="275">
        <v>25453</v>
      </c>
      <c r="E21" s="276">
        <v>78630</v>
      </c>
    </row>
    <row r="22" spans="1:5">
      <c r="A22" s="273" t="s">
        <v>68</v>
      </c>
      <c r="B22" s="287">
        <v>672</v>
      </c>
      <c r="C22" s="288">
        <v>74171</v>
      </c>
      <c r="D22" s="288">
        <v>3923</v>
      </c>
      <c r="E22" s="276">
        <v>78766</v>
      </c>
    </row>
    <row r="23" spans="1:5">
      <c r="A23" s="273" t="s">
        <v>71</v>
      </c>
      <c r="B23" s="274">
        <v>253</v>
      </c>
      <c r="C23" s="275">
        <v>3093</v>
      </c>
      <c r="D23" s="275">
        <v>324</v>
      </c>
      <c r="E23" s="276">
        <v>3670</v>
      </c>
    </row>
    <row r="24" spans="1:5">
      <c r="A24" s="273" t="s">
        <v>69</v>
      </c>
      <c r="B24" s="274">
        <v>1486</v>
      </c>
      <c r="C24" s="275">
        <v>1184</v>
      </c>
      <c r="D24" s="275">
        <v>1636</v>
      </c>
      <c r="E24" s="276">
        <v>4306</v>
      </c>
    </row>
    <row r="25" spans="1:5">
      <c r="A25" s="273" t="s">
        <v>72</v>
      </c>
      <c r="B25" s="274">
        <v>1837</v>
      </c>
      <c r="C25" s="275">
        <v>2530</v>
      </c>
      <c r="D25" s="275">
        <v>1967</v>
      </c>
      <c r="E25" s="276">
        <v>6334</v>
      </c>
    </row>
    <row r="26" spans="1:5">
      <c r="A26" s="284" t="s">
        <v>65</v>
      </c>
      <c r="B26" s="278">
        <v>51144</v>
      </c>
      <c r="C26" s="279">
        <v>87259</v>
      </c>
      <c r="D26" s="279">
        <v>33303</v>
      </c>
      <c r="E26" s="280">
        <v>171706</v>
      </c>
    </row>
    <row r="27" spans="1:5">
      <c r="A27" s="285" t="s">
        <v>78</v>
      </c>
      <c r="B27" s="274"/>
      <c r="C27" s="275"/>
      <c r="D27" s="275"/>
      <c r="E27" s="276"/>
    </row>
    <row r="28" spans="1:5">
      <c r="A28" s="273" t="s">
        <v>67</v>
      </c>
      <c r="B28" s="274">
        <v>30</v>
      </c>
      <c r="C28" s="275" t="s">
        <v>80</v>
      </c>
      <c r="D28" s="275" t="s">
        <v>79</v>
      </c>
      <c r="E28" s="276">
        <v>60</v>
      </c>
    </row>
    <row r="29" spans="1:5">
      <c r="A29" s="273" t="s">
        <v>81</v>
      </c>
      <c r="B29" s="289">
        <v>590</v>
      </c>
      <c r="C29" s="290" t="s">
        <v>79</v>
      </c>
      <c r="D29" s="290" t="s">
        <v>79</v>
      </c>
      <c r="E29" s="276">
        <v>1500</v>
      </c>
    </row>
    <row r="30" spans="1:5">
      <c r="A30" s="284" t="s">
        <v>65</v>
      </c>
      <c r="B30" s="278">
        <v>620</v>
      </c>
      <c r="C30" s="279">
        <v>231</v>
      </c>
      <c r="D30" s="279">
        <v>709</v>
      </c>
      <c r="E30" s="280">
        <v>1560</v>
      </c>
    </row>
    <row r="31" spans="1:5">
      <c r="A31" s="285" t="s">
        <v>82</v>
      </c>
      <c r="B31" s="274"/>
      <c r="C31" s="275"/>
      <c r="D31" s="275"/>
      <c r="E31" s="276"/>
    </row>
    <row r="32" spans="1:5">
      <c r="A32" s="273" t="s">
        <v>67</v>
      </c>
      <c r="B32" s="274">
        <v>22998</v>
      </c>
      <c r="C32" s="275">
        <v>1330</v>
      </c>
      <c r="D32" s="275">
        <v>6353</v>
      </c>
      <c r="E32" s="276">
        <v>30681</v>
      </c>
    </row>
    <row r="33" spans="1:5">
      <c r="A33" s="273" t="s">
        <v>68</v>
      </c>
      <c r="B33" s="274" t="s">
        <v>79</v>
      </c>
      <c r="C33" s="275">
        <v>36837</v>
      </c>
      <c r="D33" s="275" t="s">
        <v>79</v>
      </c>
      <c r="E33" s="276">
        <v>39353</v>
      </c>
    </row>
    <row r="34" spans="1:5">
      <c r="A34" s="273" t="s">
        <v>71</v>
      </c>
      <c r="B34" s="274" t="s">
        <v>80</v>
      </c>
      <c r="C34" s="275">
        <v>962</v>
      </c>
      <c r="D34" s="275" t="s">
        <v>79</v>
      </c>
      <c r="E34" s="276">
        <v>1019</v>
      </c>
    </row>
    <row r="35" spans="1:5">
      <c r="A35" s="273" t="s">
        <v>69</v>
      </c>
      <c r="B35" s="274">
        <v>1642</v>
      </c>
      <c r="C35" s="275">
        <v>523</v>
      </c>
      <c r="D35" s="275">
        <v>940</v>
      </c>
      <c r="E35" s="276">
        <v>3105</v>
      </c>
    </row>
    <row r="36" spans="1:5">
      <c r="A36" s="273" t="s">
        <v>72</v>
      </c>
      <c r="B36" s="274">
        <v>3770</v>
      </c>
      <c r="C36" s="275">
        <v>4236</v>
      </c>
      <c r="D36" s="275">
        <v>2356</v>
      </c>
      <c r="E36" s="276">
        <v>10362</v>
      </c>
    </row>
    <row r="37" spans="1:5">
      <c r="A37" s="284" t="s">
        <v>65</v>
      </c>
      <c r="B37" s="278">
        <v>29111</v>
      </c>
      <c r="C37" s="279">
        <v>43888</v>
      </c>
      <c r="D37" s="279">
        <v>11521</v>
      </c>
      <c r="E37" s="280">
        <v>84520</v>
      </c>
    </row>
    <row r="38" spans="1:5">
      <c r="A38" s="285" t="s">
        <v>83</v>
      </c>
      <c r="B38" s="274"/>
      <c r="C38" s="275"/>
      <c r="D38" s="275"/>
      <c r="E38" s="276"/>
    </row>
    <row r="39" spans="1:5">
      <c r="A39" s="273" t="s">
        <v>67</v>
      </c>
      <c r="B39" s="274">
        <v>9614</v>
      </c>
      <c r="C39" s="275">
        <v>1578</v>
      </c>
      <c r="D39" s="275">
        <v>3319</v>
      </c>
      <c r="E39" s="276">
        <v>14511</v>
      </c>
    </row>
    <row r="40" spans="1:5">
      <c r="A40" s="273" t="s">
        <v>84</v>
      </c>
      <c r="B40" s="274">
        <v>409</v>
      </c>
      <c r="C40" s="275">
        <v>27732</v>
      </c>
      <c r="D40" s="275">
        <v>1064</v>
      </c>
      <c r="E40" s="276">
        <v>29205</v>
      </c>
    </row>
    <row r="41" spans="1:5">
      <c r="A41" s="273" t="s">
        <v>85</v>
      </c>
      <c r="B41" s="274">
        <v>12091</v>
      </c>
      <c r="C41" s="275">
        <v>3002</v>
      </c>
      <c r="D41" s="275">
        <v>5589</v>
      </c>
      <c r="E41" s="276">
        <v>20682</v>
      </c>
    </row>
    <row r="42" spans="1:5">
      <c r="A42" s="284" t="s">
        <v>65</v>
      </c>
      <c r="B42" s="278">
        <v>22114</v>
      </c>
      <c r="C42" s="279">
        <v>32312</v>
      </c>
      <c r="D42" s="279">
        <v>9972</v>
      </c>
      <c r="E42" s="280">
        <v>64398</v>
      </c>
    </row>
    <row r="43" spans="1:5">
      <c r="A43" s="285" t="s">
        <v>86</v>
      </c>
      <c r="B43" s="274"/>
      <c r="C43" s="275"/>
      <c r="D43" s="275"/>
      <c r="E43" s="276"/>
    </row>
    <row r="44" spans="1:5">
      <c r="A44" s="273" t="s">
        <v>67</v>
      </c>
      <c r="B44" s="274">
        <v>2079</v>
      </c>
      <c r="C44" s="275">
        <v>2452</v>
      </c>
      <c r="D44" s="275">
        <v>1463</v>
      </c>
      <c r="E44" s="276">
        <v>5994</v>
      </c>
    </row>
    <row r="45" spans="1:5">
      <c r="A45" s="273" t="s">
        <v>68</v>
      </c>
      <c r="B45" s="274">
        <v>12</v>
      </c>
      <c r="C45" s="275">
        <v>297</v>
      </c>
      <c r="D45" s="275">
        <v>24</v>
      </c>
      <c r="E45" s="276">
        <v>333</v>
      </c>
    </row>
    <row r="46" spans="1:5">
      <c r="A46" s="273" t="s">
        <v>71</v>
      </c>
      <c r="B46" s="274">
        <v>24</v>
      </c>
      <c r="C46" s="275">
        <v>27</v>
      </c>
      <c r="D46" s="275">
        <v>25</v>
      </c>
      <c r="E46" s="276">
        <v>76</v>
      </c>
    </row>
    <row r="47" spans="1:5">
      <c r="A47" s="284" t="s">
        <v>65</v>
      </c>
      <c r="B47" s="278">
        <v>2115</v>
      </c>
      <c r="C47" s="279">
        <v>2776</v>
      </c>
      <c r="D47" s="279">
        <v>1512</v>
      </c>
      <c r="E47" s="280">
        <v>6403</v>
      </c>
    </row>
    <row r="48" spans="1:5" ht="13.5" thickBot="1">
      <c r="A48" s="285" t="s">
        <v>87</v>
      </c>
      <c r="B48" s="274">
        <v>11</v>
      </c>
      <c r="C48" s="275">
        <v>21</v>
      </c>
      <c r="D48" s="275">
        <v>8</v>
      </c>
      <c r="E48" s="276">
        <v>40</v>
      </c>
    </row>
    <row r="49" spans="1:5" ht="26.25" thickBot="1">
      <c r="A49" s="291" t="s">
        <v>88</v>
      </c>
      <c r="B49" s="292">
        <v>111437</v>
      </c>
      <c r="C49" s="293">
        <v>177245</v>
      </c>
      <c r="D49" s="293">
        <v>63017</v>
      </c>
      <c r="E49" s="294">
        <v>351699</v>
      </c>
    </row>
    <row r="50" spans="1:5" ht="26.25" thickBot="1">
      <c r="A50" s="291" t="s">
        <v>89</v>
      </c>
      <c r="B50" s="292">
        <v>111448</v>
      </c>
      <c r="C50" s="293">
        <v>177266</v>
      </c>
      <c r="D50" s="293">
        <v>63025</v>
      </c>
      <c r="E50" s="294">
        <v>351739</v>
      </c>
    </row>
    <row r="51" spans="1:5">
      <c r="B51" s="295"/>
    </row>
    <row r="52" spans="1:5">
      <c r="A52" s="170" t="s">
        <v>90</v>
      </c>
      <c r="B52" s="170"/>
      <c r="C52" s="208"/>
      <c r="D52" s="208"/>
      <c r="E52" s="208"/>
    </row>
    <row r="53" spans="1:5" ht="14.25">
      <c r="A53" s="205" t="s">
        <v>91</v>
      </c>
      <c r="B53" s="170"/>
      <c r="C53" s="171"/>
      <c r="D53" s="171"/>
      <c r="E53" s="171"/>
    </row>
    <row r="54" spans="1:5" ht="14.25">
      <c r="A54" s="296" t="s">
        <v>92</v>
      </c>
      <c r="B54" s="263"/>
      <c r="C54" s="263"/>
      <c r="D54" s="263"/>
      <c r="E54" s="2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8"/>
  <sheetViews>
    <sheetView zoomScale="80" zoomScaleNormal="80" workbookViewId="0">
      <selection activeCell="H42" sqref="H42"/>
    </sheetView>
  </sheetViews>
  <sheetFormatPr defaultRowHeight="12.75"/>
  <cols>
    <col min="1" max="1" width="58.5703125" customWidth="1"/>
    <col min="2" max="2" width="53.140625" customWidth="1"/>
    <col min="3" max="3" width="11.28515625" bestFit="1" customWidth="1"/>
    <col min="4" max="4" width="10.5703125" bestFit="1" customWidth="1"/>
    <col min="6" max="6" width="9.5703125" bestFit="1" customWidth="1"/>
    <col min="8" max="8" width="44.28515625" customWidth="1"/>
  </cols>
  <sheetData>
    <row r="1" spans="1:6" ht="18">
      <c r="A1" s="168" t="s">
        <v>102</v>
      </c>
      <c r="B1" s="168"/>
      <c r="C1" s="169"/>
      <c r="D1" s="169"/>
      <c r="E1" s="169"/>
      <c r="F1" s="169"/>
    </row>
    <row r="2" spans="1:6" ht="18">
      <c r="A2" s="168" t="s">
        <v>56</v>
      </c>
      <c r="B2" s="168"/>
      <c r="C2" s="169"/>
      <c r="D2" s="169"/>
      <c r="E2" s="169"/>
      <c r="F2" s="169"/>
    </row>
    <row r="3" spans="1:6" ht="13.5" thickBot="1">
      <c r="A3" s="170"/>
      <c r="B3" s="170"/>
      <c r="C3" s="171"/>
      <c r="D3" s="171"/>
      <c r="E3" s="171"/>
      <c r="F3" s="171"/>
    </row>
    <row r="4" spans="1:6" ht="13.5" thickTop="1">
      <c r="A4" s="383"/>
      <c r="B4" s="384"/>
      <c r="C4" s="389" t="s">
        <v>58</v>
      </c>
      <c r="D4" s="392" t="s">
        <v>59</v>
      </c>
      <c r="E4" s="395" t="s">
        <v>60</v>
      </c>
      <c r="F4" s="398" t="s">
        <v>61</v>
      </c>
    </row>
    <row r="5" spans="1:6">
      <c r="A5" s="385"/>
      <c r="B5" s="386"/>
      <c r="C5" s="390"/>
      <c r="D5" s="393"/>
      <c r="E5" s="396"/>
      <c r="F5" s="399"/>
    </row>
    <row r="6" spans="1:6">
      <c r="A6" s="387"/>
      <c r="B6" s="388"/>
      <c r="C6" s="391"/>
      <c r="D6" s="394"/>
      <c r="E6" s="397"/>
      <c r="F6" s="400"/>
    </row>
    <row r="7" spans="1:6">
      <c r="A7" s="401" t="s">
        <v>62</v>
      </c>
      <c r="B7" s="180" t="s">
        <v>63</v>
      </c>
      <c r="C7" s="238">
        <v>1767</v>
      </c>
      <c r="D7" s="239">
        <v>3449</v>
      </c>
      <c r="E7" s="239">
        <v>1766</v>
      </c>
      <c r="F7" s="240">
        <v>6982</v>
      </c>
    </row>
    <row r="8" spans="1:6">
      <c r="A8" s="402"/>
      <c r="B8" s="180" t="s">
        <v>64</v>
      </c>
      <c r="C8" s="238">
        <v>362</v>
      </c>
      <c r="D8" s="239">
        <v>310</v>
      </c>
      <c r="E8" s="239">
        <v>426</v>
      </c>
      <c r="F8" s="241">
        <v>1098</v>
      </c>
    </row>
    <row r="9" spans="1:6">
      <c r="A9" s="403"/>
      <c r="B9" s="180" t="s">
        <v>65</v>
      </c>
      <c r="C9" s="238">
        <v>2129</v>
      </c>
      <c r="D9" s="239">
        <v>3759</v>
      </c>
      <c r="E9" s="239">
        <v>2192</v>
      </c>
      <c r="F9" s="241">
        <v>8080</v>
      </c>
    </row>
    <row r="10" spans="1:6">
      <c r="A10" s="184" t="s">
        <v>66</v>
      </c>
      <c r="B10" s="185" t="s">
        <v>67</v>
      </c>
      <c r="C10" s="242">
        <v>1863</v>
      </c>
      <c r="D10" s="243">
        <v>1133</v>
      </c>
      <c r="E10" s="243">
        <v>1108</v>
      </c>
      <c r="F10" s="240">
        <v>4104</v>
      </c>
    </row>
    <row r="11" spans="1:6">
      <c r="A11" s="187"/>
      <c r="B11" s="180" t="s">
        <v>68</v>
      </c>
      <c r="C11" s="238">
        <v>36</v>
      </c>
      <c r="D11" s="239">
        <v>1471</v>
      </c>
      <c r="E11" s="239">
        <v>213</v>
      </c>
      <c r="F11" s="241">
        <v>1720</v>
      </c>
    </row>
    <row r="12" spans="1:6">
      <c r="A12" s="188"/>
      <c r="B12" s="189" t="s">
        <v>65</v>
      </c>
      <c r="C12" s="244">
        <v>1899</v>
      </c>
      <c r="D12" s="245">
        <v>2604</v>
      </c>
      <c r="E12" s="245">
        <v>1321</v>
      </c>
      <c r="F12" s="246">
        <v>5824</v>
      </c>
    </row>
    <row r="13" spans="1:6">
      <c r="A13" s="187" t="s">
        <v>103</v>
      </c>
      <c r="B13" s="180" t="s">
        <v>67</v>
      </c>
      <c r="C13" s="238">
        <v>2168</v>
      </c>
      <c r="D13" s="239">
        <v>561</v>
      </c>
      <c r="E13" s="239">
        <v>1855</v>
      </c>
      <c r="F13" s="240">
        <v>4584</v>
      </c>
    </row>
    <row r="14" spans="1:6">
      <c r="A14" s="187" t="s">
        <v>104</v>
      </c>
      <c r="B14" s="180" t="s">
        <v>68</v>
      </c>
      <c r="C14" s="238">
        <v>68</v>
      </c>
      <c r="D14" s="239">
        <v>3737</v>
      </c>
      <c r="E14" s="239">
        <v>253</v>
      </c>
      <c r="F14" s="241">
        <v>4058</v>
      </c>
    </row>
    <row r="15" spans="1:6">
      <c r="A15" s="187"/>
      <c r="B15" s="180" t="s">
        <v>71</v>
      </c>
      <c r="C15" s="238">
        <v>30</v>
      </c>
      <c r="D15" s="239">
        <v>368</v>
      </c>
      <c r="E15" s="239">
        <v>76</v>
      </c>
      <c r="F15" s="241">
        <v>474</v>
      </c>
    </row>
    <row r="16" spans="1:6">
      <c r="A16" s="187"/>
      <c r="B16" s="180" t="s">
        <v>69</v>
      </c>
      <c r="C16" s="238">
        <v>42</v>
      </c>
      <c r="D16" s="239">
        <v>38</v>
      </c>
      <c r="E16" s="239">
        <v>55</v>
      </c>
      <c r="F16" s="241">
        <v>135</v>
      </c>
    </row>
    <row r="17" spans="1:6">
      <c r="A17" s="187"/>
      <c r="B17" s="180" t="s">
        <v>72</v>
      </c>
      <c r="C17" s="238">
        <v>135</v>
      </c>
      <c r="D17" s="239">
        <v>237</v>
      </c>
      <c r="E17" s="239">
        <v>232</v>
      </c>
      <c r="F17" s="241">
        <v>604</v>
      </c>
    </row>
    <row r="18" spans="1:6">
      <c r="A18" s="188"/>
      <c r="B18" s="189" t="s">
        <v>65</v>
      </c>
      <c r="C18" s="244">
        <v>2443</v>
      </c>
      <c r="D18" s="245">
        <v>4941</v>
      </c>
      <c r="E18" s="245">
        <v>2471</v>
      </c>
      <c r="F18" s="246">
        <v>9855</v>
      </c>
    </row>
    <row r="19" spans="1:6">
      <c r="A19" s="187" t="s">
        <v>105</v>
      </c>
      <c r="B19" s="180" t="s">
        <v>67</v>
      </c>
      <c r="C19" s="238">
        <v>48290</v>
      </c>
      <c r="D19" s="239">
        <v>6274</v>
      </c>
      <c r="E19" s="239">
        <v>24592</v>
      </c>
      <c r="F19" s="241">
        <v>79156</v>
      </c>
    </row>
    <row r="20" spans="1:6">
      <c r="A20" s="187" t="s">
        <v>106</v>
      </c>
      <c r="B20" s="180" t="s">
        <v>68</v>
      </c>
      <c r="C20" s="194">
        <v>695</v>
      </c>
      <c r="D20" s="195">
        <v>74699</v>
      </c>
      <c r="E20" s="195">
        <v>3573</v>
      </c>
      <c r="F20" s="241">
        <v>78967</v>
      </c>
    </row>
    <row r="21" spans="1:6">
      <c r="A21" s="187"/>
      <c r="B21" s="180" t="s">
        <v>71</v>
      </c>
      <c r="C21" s="238">
        <v>260</v>
      </c>
      <c r="D21" s="239">
        <v>3031</v>
      </c>
      <c r="E21" s="239">
        <v>294</v>
      </c>
      <c r="F21" s="241">
        <v>3585</v>
      </c>
    </row>
    <row r="22" spans="1:6">
      <c r="A22" s="187"/>
      <c r="B22" s="180" t="s">
        <v>69</v>
      </c>
      <c r="C22" s="238">
        <v>1501</v>
      </c>
      <c r="D22" s="239">
        <v>1187</v>
      </c>
      <c r="E22" s="239">
        <v>1574</v>
      </c>
      <c r="F22" s="241">
        <v>4262</v>
      </c>
    </row>
    <row r="23" spans="1:6">
      <c r="A23" s="187"/>
      <c r="B23" s="180" t="s">
        <v>72</v>
      </c>
      <c r="C23" s="238">
        <v>1845</v>
      </c>
      <c r="D23" s="239">
        <v>2537</v>
      </c>
      <c r="E23" s="239">
        <v>1903</v>
      </c>
      <c r="F23" s="241">
        <v>6285</v>
      </c>
    </row>
    <row r="24" spans="1:6">
      <c r="A24" s="188"/>
      <c r="B24" s="189" t="s">
        <v>65</v>
      </c>
      <c r="C24" s="244">
        <v>52591</v>
      </c>
      <c r="D24" s="245">
        <v>87728</v>
      </c>
      <c r="E24" s="245">
        <v>31936</v>
      </c>
      <c r="F24" s="246">
        <v>172255</v>
      </c>
    </row>
    <row r="25" spans="1:6">
      <c r="A25" s="187" t="s">
        <v>107</v>
      </c>
      <c r="B25" s="180" t="s">
        <v>67</v>
      </c>
      <c r="C25" s="238">
        <v>29</v>
      </c>
      <c r="D25" s="239" t="s">
        <v>80</v>
      </c>
      <c r="E25" s="239" t="s">
        <v>79</v>
      </c>
      <c r="F25" s="241">
        <v>57</v>
      </c>
    </row>
    <row r="26" spans="1:6">
      <c r="A26" s="187" t="s">
        <v>106</v>
      </c>
      <c r="B26" s="180" t="s">
        <v>81</v>
      </c>
      <c r="C26" s="247">
        <v>645</v>
      </c>
      <c r="D26" s="248" t="s">
        <v>79</v>
      </c>
      <c r="E26" s="248" t="s">
        <v>79</v>
      </c>
      <c r="F26" s="241">
        <v>1544</v>
      </c>
    </row>
    <row r="27" spans="1:6">
      <c r="A27" s="188"/>
      <c r="B27" s="189" t="s">
        <v>65</v>
      </c>
      <c r="C27" s="244">
        <v>674</v>
      </c>
      <c r="D27" s="245">
        <v>236</v>
      </c>
      <c r="E27" s="245">
        <v>691</v>
      </c>
      <c r="F27" s="246">
        <v>1601</v>
      </c>
    </row>
    <row r="28" spans="1:6">
      <c r="A28" s="187" t="s">
        <v>108</v>
      </c>
      <c r="B28" s="180" t="s">
        <v>67</v>
      </c>
      <c r="C28" s="238">
        <v>22410</v>
      </c>
      <c r="D28" s="239">
        <v>1235</v>
      </c>
      <c r="E28" s="239">
        <v>5822</v>
      </c>
      <c r="F28" s="241">
        <v>29467</v>
      </c>
    </row>
    <row r="29" spans="1:6">
      <c r="A29" s="187" t="s">
        <v>109</v>
      </c>
      <c r="B29" s="180" t="s">
        <v>68</v>
      </c>
      <c r="C29" s="238" t="s">
        <v>79</v>
      </c>
      <c r="D29" s="239">
        <v>36069</v>
      </c>
      <c r="E29" s="239" t="s">
        <v>79</v>
      </c>
      <c r="F29" s="241">
        <v>38325</v>
      </c>
    </row>
    <row r="30" spans="1:6">
      <c r="A30" s="187" t="s">
        <v>110</v>
      </c>
      <c r="B30" s="180" t="s">
        <v>71</v>
      </c>
      <c r="C30" s="238" t="s">
        <v>80</v>
      </c>
      <c r="D30" s="239">
        <v>841</v>
      </c>
      <c r="E30" s="239" t="s">
        <v>79</v>
      </c>
      <c r="F30" s="241">
        <v>895</v>
      </c>
    </row>
    <row r="31" spans="1:6">
      <c r="A31" s="187"/>
      <c r="B31" s="180" t="s">
        <v>69</v>
      </c>
      <c r="C31" s="238">
        <v>1632</v>
      </c>
      <c r="D31" s="239">
        <v>464</v>
      </c>
      <c r="E31" s="239">
        <v>858</v>
      </c>
      <c r="F31" s="241">
        <v>2954</v>
      </c>
    </row>
    <row r="32" spans="1:6">
      <c r="A32" s="187"/>
      <c r="B32" s="180" t="s">
        <v>72</v>
      </c>
      <c r="C32" s="238">
        <v>3808</v>
      </c>
      <c r="D32" s="239">
        <v>3996</v>
      </c>
      <c r="E32" s="239">
        <v>2217</v>
      </c>
      <c r="F32" s="241">
        <v>10021</v>
      </c>
    </row>
    <row r="33" spans="1:8">
      <c r="A33" s="188"/>
      <c r="B33" s="189" t="s">
        <v>65</v>
      </c>
      <c r="C33" s="244">
        <v>28491</v>
      </c>
      <c r="D33" s="245">
        <v>42605</v>
      </c>
      <c r="E33" s="245">
        <v>10566</v>
      </c>
      <c r="F33" s="246">
        <v>81662</v>
      </c>
    </row>
    <row r="34" spans="1:8">
      <c r="A34" s="187" t="s">
        <v>111</v>
      </c>
      <c r="B34" s="180" t="s">
        <v>67</v>
      </c>
      <c r="C34" s="238">
        <v>9626</v>
      </c>
      <c r="D34" s="239">
        <v>1469</v>
      </c>
      <c r="E34" s="239">
        <v>3088</v>
      </c>
      <c r="F34" s="241">
        <v>14183</v>
      </c>
    </row>
    <row r="35" spans="1:8">
      <c r="A35" s="187" t="s">
        <v>112</v>
      </c>
      <c r="B35" s="180" t="s">
        <v>84</v>
      </c>
      <c r="C35" s="238">
        <v>386</v>
      </c>
      <c r="D35" s="239">
        <v>27467</v>
      </c>
      <c r="E35" s="239">
        <v>902</v>
      </c>
      <c r="F35" s="241">
        <v>28755</v>
      </c>
    </row>
    <row r="36" spans="1:8">
      <c r="A36" s="187"/>
      <c r="B36" s="180" t="s">
        <v>85</v>
      </c>
      <c r="C36" s="238">
        <v>12282</v>
      </c>
      <c r="D36" s="239">
        <v>2892</v>
      </c>
      <c r="E36" s="239">
        <v>5311</v>
      </c>
      <c r="F36" s="241">
        <v>20485</v>
      </c>
    </row>
    <row r="37" spans="1:8">
      <c r="A37" s="188"/>
      <c r="B37" s="189" t="s">
        <v>65</v>
      </c>
      <c r="C37" s="244">
        <v>22294</v>
      </c>
      <c r="D37" s="245">
        <v>31828</v>
      </c>
      <c r="E37" s="245">
        <v>9301</v>
      </c>
      <c r="F37" s="246">
        <v>63423</v>
      </c>
    </row>
    <row r="38" spans="1:8">
      <c r="A38" s="187" t="s">
        <v>86</v>
      </c>
      <c r="B38" s="180" t="s">
        <v>67</v>
      </c>
      <c r="C38" s="238">
        <v>2074</v>
      </c>
      <c r="D38" s="239">
        <v>2385</v>
      </c>
      <c r="E38" s="239">
        <v>1357</v>
      </c>
      <c r="F38" s="241">
        <v>5816</v>
      </c>
    </row>
    <row r="39" spans="1:8">
      <c r="A39" s="187"/>
      <c r="B39" s="180" t="s">
        <v>68</v>
      </c>
      <c r="C39" s="238">
        <v>8</v>
      </c>
      <c r="D39" s="239">
        <v>258</v>
      </c>
      <c r="E39" s="239">
        <v>16</v>
      </c>
      <c r="F39" s="241">
        <v>282</v>
      </c>
    </row>
    <row r="40" spans="1:8">
      <c r="A40" s="187"/>
      <c r="B40" s="180" t="s">
        <v>71</v>
      </c>
      <c r="C40" s="238">
        <v>23</v>
      </c>
      <c r="D40" s="239">
        <v>28</v>
      </c>
      <c r="E40" s="239">
        <v>25</v>
      </c>
      <c r="F40" s="241">
        <v>76</v>
      </c>
    </row>
    <row r="41" spans="1:8">
      <c r="A41" s="188"/>
      <c r="B41" s="189" t="s">
        <v>65</v>
      </c>
      <c r="C41" s="244">
        <v>2105</v>
      </c>
      <c r="D41" s="245">
        <v>2671</v>
      </c>
      <c r="E41" s="245">
        <v>1398</v>
      </c>
      <c r="F41" s="246">
        <v>6174</v>
      </c>
    </row>
    <row r="42" spans="1:8" ht="13.5" thickBot="1">
      <c r="A42" s="249" t="s">
        <v>87</v>
      </c>
      <c r="B42" s="250"/>
      <c r="C42" s="238">
        <v>11</v>
      </c>
      <c r="D42" s="239">
        <v>36</v>
      </c>
      <c r="E42" s="239">
        <v>7</v>
      </c>
      <c r="F42" s="241">
        <v>54</v>
      </c>
    </row>
    <row r="43" spans="1:8" ht="13.5" thickBot="1">
      <c r="A43" s="378" t="s">
        <v>88</v>
      </c>
      <c r="B43" s="379"/>
      <c r="C43" s="251">
        <v>112626</v>
      </c>
      <c r="D43" s="252">
        <v>176372</v>
      </c>
      <c r="E43" s="255">
        <v>59876</v>
      </c>
      <c r="F43" s="256">
        <v>348874</v>
      </c>
    </row>
    <row r="44" spans="1:8" ht="13.5" thickBot="1">
      <c r="A44" s="380" t="s">
        <v>89</v>
      </c>
      <c r="B44" s="381"/>
      <c r="C44" s="253">
        <v>112637</v>
      </c>
      <c r="D44" s="254">
        <v>176408</v>
      </c>
      <c r="E44" s="255">
        <v>59883</v>
      </c>
      <c r="F44" s="256">
        <v>348928</v>
      </c>
    </row>
    <row r="45" spans="1:8" ht="13.5" thickTop="1"/>
    <row r="46" spans="1:8">
      <c r="A46" s="170" t="s">
        <v>90</v>
      </c>
      <c r="B46" s="170"/>
      <c r="C46" s="208"/>
      <c r="D46" s="208"/>
      <c r="E46" s="208"/>
      <c r="F46" s="208"/>
      <c r="G46" s="208"/>
      <c r="H46" s="170"/>
    </row>
    <row r="47" spans="1:8" ht="14.25">
      <c r="A47" s="205" t="s">
        <v>91</v>
      </c>
      <c r="B47" s="170"/>
      <c r="C47" s="171"/>
      <c r="D47" s="171"/>
      <c r="E47" s="171"/>
      <c r="F47" s="171"/>
      <c r="G47" s="171"/>
      <c r="H47" s="171"/>
    </row>
    <row r="48" spans="1:8">
      <c r="A48" s="382" t="s">
        <v>92</v>
      </c>
      <c r="B48" s="382"/>
      <c r="C48" s="382"/>
      <c r="D48" s="382"/>
      <c r="E48" s="382"/>
      <c r="F48" s="382"/>
      <c r="G48" s="382"/>
      <c r="H48" s="382"/>
    </row>
  </sheetData>
  <mergeCells count="9">
    <mergeCell ref="A43:B43"/>
    <mergeCell ref="A44:B44"/>
    <mergeCell ref="A48:H48"/>
    <mergeCell ref="A4:B6"/>
    <mergeCell ref="C4:C6"/>
    <mergeCell ref="D4:D6"/>
    <mergeCell ref="E4:E6"/>
    <mergeCell ref="F4:F6"/>
    <mergeCell ref="A7: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
  <sheetViews>
    <sheetView zoomScale="80" zoomScaleNormal="80" workbookViewId="0">
      <selection activeCell="H19" sqref="H19"/>
    </sheetView>
  </sheetViews>
  <sheetFormatPr defaultRowHeight="12.75"/>
  <cols>
    <col min="1" max="1" width="59.7109375" customWidth="1"/>
    <col min="2" max="2" width="44.85546875" customWidth="1"/>
    <col min="3" max="3" width="11.28515625" bestFit="1" customWidth="1"/>
    <col min="4" max="4" width="9.5703125" bestFit="1" customWidth="1"/>
    <col min="5" max="5" width="15.28515625" customWidth="1"/>
    <col min="6" max="7" width="9.5703125" bestFit="1" customWidth="1"/>
    <col min="8" max="8" width="20.42578125" customWidth="1"/>
  </cols>
  <sheetData>
    <row r="1" spans="1:8" ht="18">
      <c r="A1" s="168" t="s">
        <v>113</v>
      </c>
      <c r="B1" s="168"/>
      <c r="C1" s="169"/>
      <c r="D1" s="169"/>
      <c r="E1" s="169"/>
      <c r="F1" s="169"/>
      <c r="G1" s="169"/>
      <c r="H1" s="169"/>
    </row>
    <row r="2" spans="1:8" ht="18">
      <c r="A2" s="168" t="s">
        <v>56</v>
      </c>
      <c r="B2" s="168"/>
      <c r="C2" s="169"/>
      <c r="D2" s="169"/>
      <c r="E2" s="169"/>
      <c r="F2" s="169"/>
      <c r="G2" s="169"/>
      <c r="H2" s="169"/>
    </row>
    <row r="3" spans="1:8" ht="13.5" thickBot="1">
      <c r="A3" s="170"/>
      <c r="B3" s="170"/>
      <c r="C3" s="171"/>
      <c r="D3" s="171"/>
      <c r="E3" s="171"/>
      <c r="F3" s="171"/>
      <c r="G3" s="171"/>
      <c r="H3" s="171"/>
    </row>
    <row r="4" spans="1:8" ht="13.5" customHeight="1">
      <c r="A4" s="209"/>
      <c r="B4" s="210"/>
      <c r="C4" s="412" t="s">
        <v>58</v>
      </c>
      <c r="D4" s="415" t="s">
        <v>59</v>
      </c>
      <c r="E4" s="418" t="s">
        <v>114</v>
      </c>
      <c r="F4" s="404" t="s">
        <v>61</v>
      </c>
    </row>
    <row r="5" spans="1:8">
      <c r="A5" s="211"/>
      <c r="B5" s="212"/>
      <c r="C5" s="413"/>
      <c r="D5" s="416"/>
      <c r="E5" s="419"/>
      <c r="F5" s="405"/>
    </row>
    <row r="6" spans="1:8" ht="40.5" customHeight="1">
      <c r="A6" s="213"/>
      <c r="B6" s="214"/>
      <c r="C6" s="414"/>
      <c r="D6" s="417"/>
      <c r="E6" s="420"/>
      <c r="F6" s="406"/>
    </row>
    <row r="7" spans="1:8" ht="12.75" customHeight="1">
      <c r="A7" s="407" t="s">
        <v>62</v>
      </c>
      <c r="B7" s="215" t="s">
        <v>63</v>
      </c>
      <c r="C7" s="216">
        <v>1783</v>
      </c>
      <c r="D7" s="217">
        <v>3349</v>
      </c>
      <c r="E7" s="217">
        <v>1761</v>
      </c>
      <c r="F7" s="218">
        <v>6893</v>
      </c>
    </row>
    <row r="8" spans="1:8">
      <c r="A8" s="408"/>
      <c r="B8" s="215" t="s">
        <v>64</v>
      </c>
      <c r="C8" s="216">
        <v>373</v>
      </c>
      <c r="D8" s="217">
        <v>323</v>
      </c>
      <c r="E8" s="217">
        <v>433</v>
      </c>
      <c r="F8" s="219">
        <v>1129</v>
      </c>
    </row>
    <row r="9" spans="1:8">
      <c r="A9" s="409"/>
      <c r="B9" s="215" t="s">
        <v>65</v>
      </c>
      <c r="C9" s="216">
        <v>2156</v>
      </c>
      <c r="D9" s="217">
        <v>3672</v>
      </c>
      <c r="E9" s="217">
        <v>2194</v>
      </c>
      <c r="F9" s="219">
        <v>8022</v>
      </c>
    </row>
    <row r="10" spans="1:8">
      <c r="A10" s="220" t="s">
        <v>66</v>
      </c>
      <c r="B10" s="221" t="s">
        <v>67</v>
      </c>
      <c r="C10" s="222">
        <v>1833</v>
      </c>
      <c r="D10" s="223">
        <v>1234</v>
      </c>
      <c r="E10" s="223">
        <v>1044</v>
      </c>
      <c r="F10" s="218">
        <v>4111</v>
      </c>
    </row>
    <row r="11" spans="1:8">
      <c r="A11" s="224"/>
      <c r="B11" s="215" t="s">
        <v>68</v>
      </c>
      <c r="C11" s="216">
        <v>32</v>
      </c>
      <c r="D11" s="217">
        <v>1475</v>
      </c>
      <c r="E11" s="217">
        <v>214</v>
      </c>
      <c r="F11" s="219">
        <v>1721</v>
      </c>
    </row>
    <row r="12" spans="1:8">
      <c r="A12" s="225"/>
      <c r="B12" s="226" t="s">
        <v>65</v>
      </c>
      <c r="C12" s="227">
        <v>1865</v>
      </c>
      <c r="D12" s="228">
        <v>2709</v>
      </c>
      <c r="E12" s="228">
        <v>1258</v>
      </c>
      <c r="F12" s="229">
        <v>5832</v>
      </c>
    </row>
    <row r="13" spans="1:8">
      <c r="A13" s="224" t="s">
        <v>103</v>
      </c>
      <c r="B13" s="215" t="s">
        <v>67</v>
      </c>
      <c r="C13" s="216">
        <v>2286</v>
      </c>
      <c r="D13" s="217">
        <v>556</v>
      </c>
      <c r="E13" s="217">
        <v>1735</v>
      </c>
      <c r="F13" s="218">
        <v>4577</v>
      </c>
    </row>
    <row r="14" spans="1:8">
      <c r="A14" s="224" t="s">
        <v>104</v>
      </c>
      <c r="B14" s="215" t="s">
        <v>68</v>
      </c>
      <c r="C14" s="216">
        <v>62</v>
      </c>
      <c r="D14" s="217">
        <v>3682</v>
      </c>
      <c r="E14" s="217">
        <v>260</v>
      </c>
      <c r="F14" s="219">
        <v>4004</v>
      </c>
    </row>
    <row r="15" spans="1:8">
      <c r="A15" s="224"/>
      <c r="B15" s="215" t="s">
        <v>71</v>
      </c>
      <c r="C15" s="216">
        <v>39</v>
      </c>
      <c r="D15" s="217">
        <v>386</v>
      </c>
      <c r="E15" s="217">
        <v>48</v>
      </c>
      <c r="F15" s="219">
        <v>473</v>
      </c>
    </row>
    <row r="16" spans="1:8">
      <c r="A16" s="224"/>
      <c r="B16" s="215" t="s">
        <v>69</v>
      </c>
      <c r="C16" s="216">
        <v>33</v>
      </c>
      <c r="D16" s="217">
        <v>48</v>
      </c>
      <c r="E16" s="217">
        <v>39</v>
      </c>
      <c r="F16" s="219">
        <v>120</v>
      </c>
    </row>
    <row r="17" spans="1:6">
      <c r="A17" s="224"/>
      <c r="B17" s="215" t="s">
        <v>72</v>
      </c>
      <c r="C17" s="216">
        <v>154</v>
      </c>
      <c r="D17" s="217">
        <v>211</v>
      </c>
      <c r="E17" s="217">
        <v>183</v>
      </c>
      <c r="F17" s="219">
        <v>548</v>
      </c>
    </row>
    <row r="18" spans="1:6">
      <c r="A18" s="225"/>
      <c r="B18" s="226" t="s">
        <v>65</v>
      </c>
      <c r="C18" s="227">
        <v>2574</v>
      </c>
      <c r="D18" s="228">
        <v>4883</v>
      </c>
      <c r="E18" s="228">
        <v>2265</v>
      </c>
      <c r="F18" s="229">
        <v>9722</v>
      </c>
    </row>
    <row r="19" spans="1:6">
      <c r="A19" s="224" t="s">
        <v>105</v>
      </c>
      <c r="B19" s="215" t="s">
        <v>67</v>
      </c>
      <c r="C19" s="216">
        <v>49936</v>
      </c>
      <c r="D19" s="217">
        <v>6278</v>
      </c>
      <c r="E19" s="217">
        <v>23424</v>
      </c>
      <c r="F19" s="219">
        <v>79638</v>
      </c>
    </row>
    <row r="20" spans="1:6">
      <c r="A20" s="224" t="s">
        <v>106</v>
      </c>
      <c r="B20" s="215" t="s">
        <v>68</v>
      </c>
      <c r="C20" s="230">
        <v>637</v>
      </c>
      <c r="D20" s="231">
        <v>75330</v>
      </c>
      <c r="E20" s="231">
        <v>3284</v>
      </c>
      <c r="F20" s="219">
        <v>79251</v>
      </c>
    </row>
    <row r="21" spans="1:6">
      <c r="A21" s="224"/>
      <c r="B21" s="215" t="s">
        <v>71</v>
      </c>
      <c r="C21" s="216">
        <v>264</v>
      </c>
      <c r="D21" s="217">
        <v>2933</v>
      </c>
      <c r="E21" s="217">
        <v>328</v>
      </c>
      <c r="F21" s="219">
        <v>3525</v>
      </c>
    </row>
    <row r="22" spans="1:6">
      <c r="A22" s="224"/>
      <c r="B22" s="215" t="s">
        <v>69</v>
      </c>
      <c r="C22" s="216">
        <v>1569</v>
      </c>
      <c r="D22" s="217">
        <v>1189</v>
      </c>
      <c r="E22" s="217">
        <v>1533</v>
      </c>
      <c r="F22" s="219">
        <v>4291</v>
      </c>
    </row>
    <row r="23" spans="1:6">
      <c r="A23" s="224"/>
      <c r="B23" s="215" t="s">
        <v>72</v>
      </c>
      <c r="C23" s="216">
        <v>1825</v>
      </c>
      <c r="D23" s="217">
        <v>2556</v>
      </c>
      <c r="E23" s="217">
        <v>1777</v>
      </c>
      <c r="F23" s="219">
        <v>6158</v>
      </c>
    </row>
    <row r="24" spans="1:6">
      <c r="A24" s="225"/>
      <c r="B24" s="226" t="s">
        <v>65</v>
      </c>
      <c r="C24" s="227">
        <v>54231</v>
      </c>
      <c r="D24" s="228">
        <v>88286</v>
      </c>
      <c r="E24" s="228">
        <v>30346</v>
      </c>
      <c r="F24" s="229">
        <v>172863</v>
      </c>
    </row>
    <row r="25" spans="1:6">
      <c r="A25" s="224" t="s">
        <v>107</v>
      </c>
      <c r="B25" s="215" t="s">
        <v>67</v>
      </c>
      <c r="C25" s="216">
        <v>35</v>
      </c>
      <c r="D25" s="217" t="s">
        <v>80</v>
      </c>
      <c r="E25" s="217" t="s">
        <v>79</v>
      </c>
      <c r="F25" s="219">
        <v>66</v>
      </c>
    </row>
    <row r="26" spans="1:6">
      <c r="A26" s="224" t="s">
        <v>106</v>
      </c>
      <c r="B26" s="215" t="s">
        <v>81</v>
      </c>
      <c r="C26" s="232">
        <v>696</v>
      </c>
      <c r="D26" s="233" t="s">
        <v>79</v>
      </c>
      <c r="E26" s="233" t="s">
        <v>79</v>
      </c>
      <c r="F26" s="219">
        <v>1594</v>
      </c>
    </row>
    <row r="27" spans="1:6">
      <c r="A27" s="225"/>
      <c r="B27" s="226" t="s">
        <v>65</v>
      </c>
      <c r="C27" s="227">
        <v>731</v>
      </c>
      <c r="D27" s="228">
        <v>228</v>
      </c>
      <c r="E27" s="228">
        <v>701</v>
      </c>
      <c r="F27" s="229">
        <v>1660</v>
      </c>
    </row>
    <row r="28" spans="1:6">
      <c r="A28" s="224" t="s">
        <v>108</v>
      </c>
      <c r="B28" s="215" t="s">
        <v>67</v>
      </c>
      <c r="C28" s="216">
        <v>22028</v>
      </c>
      <c r="D28" s="217">
        <v>1131</v>
      </c>
      <c r="E28" s="217">
        <v>5324</v>
      </c>
      <c r="F28" s="219">
        <v>28483</v>
      </c>
    </row>
    <row r="29" spans="1:6">
      <c r="A29" s="224" t="s">
        <v>109</v>
      </c>
      <c r="B29" s="215" t="s">
        <v>68</v>
      </c>
      <c r="C29" s="216" t="s">
        <v>79</v>
      </c>
      <c r="D29" s="217">
        <v>35597</v>
      </c>
      <c r="E29" s="217" t="s">
        <v>79</v>
      </c>
      <c r="F29" s="219">
        <v>37588</v>
      </c>
    </row>
    <row r="30" spans="1:6">
      <c r="A30" s="224" t="s">
        <v>110</v>
      </c>
      <c r="B30" s="215" t="s">
        <v>71</v>
      </c>
      <c r="C30" s="216" t="s">
        <v>80</v>
      </c>
      <c r="D30" s="217">
        <v>741</v>
      </c>
      <c r="E30" s="217" t="s">
        <v>79</v>
      </c>
      <c r="F30" s="219">
        <v>799</v>
      </c>
    </row>
    <row r="31" spans="1:6">
      <c r="A31" s="224"/>
      <c r="B31" s="215" t="s">
        <v>69</v>
      </c>
      <c r="C31" s="216">
        <v>1600</v>
      </c>
      <c r="D31" s="217">
        <v>422</v>
      </c>
      <c r="E31" s="217">
        <v>748</v>
      </c>
      <c r="F31" s="219">
        <v>2770</v>
      </c>
    </row>
    <row r="32" spans="1:6">
      <c r="A32" s="224"/>
      <c r="B32" s="215" t="s">
        <v>72</v>
      </c>
      <c r="C32" s="216">
        <v>3796</v>
      </c>
      <c r="D32" s="217">
        <v>3908</v>
      </c>
      <c r="E32" s="217">
        <v>2033</v>
      </c>
      <c r="F32" s="219">
        <v>9737</v>
      </c>
    </row>
    <row r="33" spans="1:8">
      <c r="A33" s="225"/>
      <c r="B33" s="226" t="s">
        <v>65</v>
      </c>
      <c r="C33" s="227">
        <v>28026</v>
      </c>
      <c r="D33" s="228">
        <v>41799</v>
      </c>
      <c r="E33" s="228">
        <v>9552</v>
      </c>
      <c r="F33" s="229">
        <v>79377</v>
      </c>
    </row>
    <row r="34" spans="1:8">
      <c r="A34" s="224" t="s">
        <v>111</v>
      </c>
      <c r="B34" s="215" t="s">
        <v>67</v>
      </c>
      <c r="C34" s="216">
        <v>9723</v>
      </c>
      <c r="D34" s="217">
        <v>1404</v>
      </c>
      <c r="E34" s="217">
        <v>2888</v>
      </c>
      <c r="F34" s="219">
        <v>14015</v>
      </c>
    </row>
    <row r="35" spans="1:8">
      <c r="A35" s="224" t="s">
        <v>112</v>
      </c>
      <c r="B35" s="215" t="s">
        <v>84</v>
      </c>
      <c r="C35" s="216">
        <v>360</v>
      </c>
      <c r="D35" s="217">
        <v>27295</v>
      </c>
      <c r="E35" s="217">
        <v>759</v>
      </c>
      <c r="F35" s="219">
        <v>28414</v>
      </c>
    </row>
    <row r="36" spans="1:8">
      <c r="A36" s="224"/>
      <c r="B36" s="215" t="s">
        <v>85</v>
      </c>
      <c r="C36" s="216">
        <v>12528</v>
      </c>
      <c r="D36" s="217">
        <v>2786</v>
      </c>
      <c r="E36" s="217">
        <v>5119</v>
      </c>
      <c r="F36" s="219">
        <v>20433</v>
      </c>
    </row>
    <row r="37" spans="1:8">
      <c r="A37" s="225"/>
      <c r="B37" s="226" t="s">
        <v>65</v>
      </c>
      <c r="C37" s="227">
        <v>22611</v>
      </c>
      <c r="D37" s="228">
        <v>31485</v>
      </c>
      <c r="E37" s="228">
        <v>8766</v>
      </c>
      <c r="F37" s="229">
        <v>62862</v>
      </c>
    </row>
    <row r="38" spans="1:8">
      <c r="A38" s="224" t="s">
        <v>86</v>
      </c>
      <c r="B38" s="215" t="s">
        <v>67</v>
      </c>
      <c r="C38" s="216">
        <v>2063</v>
      </c>
      <c r="D38" s="217">
        <v>2265</v>
      </c>
      <c r="E38" s="217">
        <v>1270</v>
      </c>
      <c r="F38" s="219">
        <v>5598</v>
      </c>
    </row>
    <row r="39" spans="1:8">
      <c r="A39" s="224"/>
      <c r="B39" s="215" t="s">
        <v>68</v>
      </c>
      <c r="C39" s="216">
        <v>8</v>
      </c>
      <c r="D39" s="217">
        <v>260</v>
      </c>
      <c r="E39" s="217">
        <v>14</v>
      </c>
      <c r="F39" s="219">
        <v>282</v>
      </c>
    </row>
    <row r="40" spans="1:8">
      <c r="A40" s="224"/>
      <c r="B40" s="215" t="s">
        <v>71</v>
      </c>
      <c r="C40" s="216">
        <v>25</v>
      </c>
      <c r="D40" s="217">
        <v>30</v>
      </c>
      <c r="E40" s="217">
        <v>24</v>
      </c>
      <c r="F40" s="219">
        <v>79</v>
      </c>
    </row>
    <row r="41" spans="1:8">
      <c r="A41" s="225"/>
      <c r="B41" s="226" t="s">
        <v>65</v>
      </c>
      <c r="C41" s="227">
        <v>2096</v>
      </c>
      <c r="D41" s="228">
        <v>2555</v>
      </c>
      <c r="E41" s="228">
        <v>1308</v>
      </c>
      <c r="F41" s="229">
        <v>5959</v>
      </c>
    </row>
    <row r="42" spans="1:8" ht="13.5" thickBot="1">
      <c r="A42" s="224" t="s">
        <v>87</v>
      </c>
      <c r="B42" s="234"/>
      <c r="C42" s="216">
        <v>24</v>
      </c>
      <c r="D42" s="217">
        <v>29</v>
      </c>
      <c r="E42" s="217">
        <v>18</v>
      </c>
      <c r="F42" s="219">
        <v>71</v>
      </c>
    </row>
    <row r="43" spans="1:8" ht="13.5" customHeight="1" thickBot="1">
      <c r="A43" s="410" t="s">
        <v>88</v>
      </c>
      <c r="B43" s="411"/>
      <c r="C43" s="235">
        <v>114290</v>
      </c>
      <c r="D43" s="236">
        <v>175617</v>
      </c>
      <c r="E43" s="236">
        <v>56390</v>
      </c>
      <c r="F43" s="237">
        <v>346297</v>
      </c>
      <c r="G43" s="262"/>
    </row>
    <row r="44" spans="1:8" ht="13.5" customHeight="1" thickBot="1">
      <c r="A44" s="410" t="s">
        <v>89</v>
      </c>
      <c r="B44" s="411"/>
      <c r="C44" s="236">
        <v>114314</v>
      </c>
      <c r="D44" s="236">
        <v>175649</v>
      </c>
      <c r="E44" s="236">
        <v>56408</v>
      </c>
      <c r="F44" s="237">
        <v>346368</v>
      </c>
    </row>
    <row r="45" spans="1:8" ht="13.5" customHeight="1">
      <c r="A45" s="257"/>
      <c r="B45" s="257"/>
      <c r="C45" s="258"/>
      <c r="D45" s="258"/>
      <c r="E45" s="258"/>
      <c r="F45" s="258"/>
    </row>
    <row r="46" spans="1:8">
      <c r="A46" s="170" t="s">
        <v>90</v>
      </c>
      <c r="B46" s="170"/>
      <c r="C46" s="208"/>
      <c r="D46" s="208"/>
      <c r="E46" s="208"/>
      <c r="F46" s="208"/>
      <c r="G46" s="208"/>
      <c r="H46" s="170"/>
    </row>
    <row r="47" spans="1:8" ht="14.25">
      <c r="A47" s="205" t="s">
        <v>91</v>
      </c>
      <c r="B47" s="170"/>
      <c r="C47" s="171"/>
      <c r="D47" s="171"/>
      <c r="E47" s="171"/>
      <c r="F47" s="171"/>
      <c r="G47" s="171"/>
      <c r="H47" s="171"/>
    </row>
    <row r="48" spans="1:8">
      <c r="A48" s="382" t="s">
        <v>92</v>
      </c>
      <c r="B48" s="382"/>
      <c r="C48" s="382"/>
      <c r="D48" s="382"/>
      <c r="E48" s="382"/>
      <c r="F48" s="382"/>
      <c r="G48" s="382"/>
      <c r="H48" s="382"/>
    </row>
  </sheetData>
  <mergeCells count="8">
    <mergeCell ref="F4:F6"/>
    <mergeCell ref="A7:A9"/>
    <mergeCell ref="A48:H48"/>
    <mergeCell ref="A43:B43"/>
    <mergeCell ref="A44:B44"/>
    <mergeCell ref="C4:C6"/>
    <mergeCell ref="D4:D6"/>
    <mergeCell ref="E4:E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85"/>
  <sheetViews>
    <sheetView zoomScaleNormal="100" workbookViewId="0">
      <selection activeCell="J20" sqref="J20"/>
    </sheetView>
  </sheetViews>
  <sheetFormatPr defaultColWidth="9.140625" defaultRowHeight="12.75"/>
  <cols>
    <col min="1" max="1" width="22.85546875" style="170" customWidth="1"/>
    <col min="2" max="2" width="47.140625" style="170" bestFit="1" customWidth="1"/>
    <col min="3" max="8" width="13.7109375" style="171" customWidth="1"/>
    <col min="9" max="16384" width="9.140625" style="170"/>
  </cols>
  <sheetData>
    <row r="1" spans="1:10" s="168" customFormat="1" ht="18">
      <c r="A1" s="168" t="s">
        <v>115</v>
      </c>
      <c r="C1" s="169"/>
      <c r="D1" s="169"/>
      <c r="E1" s="169"/>
      <c r="F1" s="169"/>
      <c r="G1" s="169"/>
      <c r="H1" s="169"/>
    </row>
    <row r="2" spans="1:10" s="168" customFormat="1" ht="18">
      <c r="A2" s="168" t="s">
        <v>56</v>
      </c>
      <c r="C2" s="169"/>
      <c r="D2" s="169"/>
      <c r="E2" s="169"/>
      <c r="F2" s="169"/>
      <c r="G2" s="169"/>
      <c r="H2" s="169"/>
    </row>
    <row r="3" spans="1:10" ht="13.5" customHeight="1" thickBot="1"/>
    <row r="4" spans="1:10" s="174" customFormat="1" ht="13.5" thickTop="1">
      <c r="A4" s="172"/>
      <c r="B4" s="173"/>
      <c r="C4" s="389" t="s">
        <v>58</v>
      </c>
      <c r="D4" s="389" t="s">
        <v>59</v>
      </c>
      <c r="E4" s="395" t="s">
        <v>116</v>
      </c>
      <c r="F4" s="395" t="s">
        <v>117</v>
      </c>
      <c r="G4" s="395" t="s">
        <v>118</v>
      </c>
      <c r="H4" s="421" t="s">
        <v>61</v>
      </c>
    </row>
    <row r="5" spans="1:10" s="174" customFormat="1">
      <c r="A5" s="175"/>
      <c r="B5" s="176"/>
      <c r="C5" s="390"/>
      <c r="D5" s="390"/>
      <c r="E5" s="427"/>
      <c r="F5" s="427"/>
      <c r="G5" s="396"/>
      <c r="H5" s="422"/>
    </row>
    <row r="6" spans="1:10" s="174" customFormat="1" ht="15">
      <c r="A6" s="177"/>
      <c r="B6" s="178"/>
      <c r="C6" s="391"/>
      <c r="D6" s="391"/>
      <c r="E6" s="428"/>
      <c r="F6" s="428"/>
      <c r="G6" s="397"/>
      <c r="H6" s="423"/>
      <c r="J6" s="179"/>
    </row>
    <row r="7" spans="1:10" ht="15" customHeight="1">
      <c r="A7" s="401" t="s">
        <v>62</v>
      </c>
      <c r="B7" s="180" t="s">
        <v>63</v>
      </c>
      <c r="C7" s="181">
        <v>1789</v>
      </c>
      <c r="D7" s="181">
        <v>3217</v>
      </c>
      <c r="E7" s="181">
        <v>138</v>
      </c>
      <c r="F7" s="181" t="s">
        <v>79</v>
      </c>
      <c r="G7" s="181" t="s">
        <v>79</v>
      </c>
      <c r="H7" s="182">
        <v>6849</v>
      </c>
      <c r="I7" s="171"/>
      <c r="J7" s="171"/>
    </row>
    <row r="8" spans="1:10" ht="15" customHeight="1">
      <c r="A8" s="402"/>
      <c r="B8" s="180" t="s">
        <v>64</v>
      </c>
      <c r="C8" s="181">
        <v>348</v>
      </c>
      <c r="D8" s="181">
        <v>296</v>
      </c>
      <c r="E8" s="181">
        <v>32</v>
      </c>
      <c r="F8" s="181" t="s">
        <v>80</v>
      </c>
      <c r="G8" s="181" t="s">
        <v>79</v>
      </c>
      <c r="H8" s="183">
        <v>1105</v>
      </c>
      <c r="I8" s="171"/>
    </row>
    <row r="9" spans="1:10" ht="15" customHeight="1">
      <c r="A9" s="403"/>
      <c r="B9" s="180" t="s">
        <v>65</v>
      </c>
      <c r="C9" s="181">
        <v>2137</v>
      </c>
      <c r="D9" s="181">
        <v>3513</v>
      </c>
      <c r="E9" s="181">
        <v>170</v>
      </c>
      <c r="F9" s="181">
        <v>29</v>
      </c>
      <c r="G9" s="181">
        <v>2105</v>
      </c>
      <c r="H9" s="183">
        <v>7954</v>
      </c>
      <c r="I9" s="171"/>
    </row>
    <row r="10" spans="1:10">
      <c r="A10" s="184" t="s">
        <v>66</v>
      </c>
      <c r="B10" s="185" t="s">
        <v>67</v>
      </c>
      <c r="C10" s="186">
        <v>1835</v>
      </c>
      <c r="D10" s="186">
        <v>1153</v>
      </c>
      <c r="E10" s="186">
        <v>268</v>
      </c>
      <c r="F10" s="186">
        <v>44</v>
      </c>
      <c r="G10" s="186">
        <v>817</v>
      </c>
      <c r="H10" s="182">
        <v>4117</v>
      </c>
      <c r="I10" s="171"/>
    </row>
    <row r="11" spans="1:10" ht="13.5" customHeight="1">
      <c r="A11" s="187"/>
      <c r="B11" s="180" t="s">
        <v>68</v>
      </c>
      <c r="C11" s="181">
        <v>24</v>
      </c>
      <c r="D11" s="181">
        <v>1494</v>
      </c>
      <c r="E11" s="181">
        <v>24</v>
      </c>
      <c r="F11" s="181">
        <v>14</v>
      </c>
      <c r="G11" s="181">
        <v>164</v>
      </c>
      <c r="H11" s="183">
        <v>1720</v>
      </c>
      <c r="I11" s="171"/>
    </row>
    <row r="12" spans="1:10">
      <c r="A12" s="188"/>
      <c r="B12" s="189" t="s">
        <v>65</v>
      </c>
      <c r="C12" s="190">
        <v>1859</v>
      </c>
      <c r="D12" s="190">
        <v>2647</v>
      </c>
      <c r="E12" s="190">
        <v>292</v>
      </c>
      <c r="F12" s="190">
        <v>58</v>
      </c>
      <c r="G12" s="190">
        <v>981</v>
      </c>
      <c r="H12" s="191">
        <v>5837</v>
      </c>
      <c r="I12" s="171"/>
    </row>
    <row r="13" spans="1:10">
      <c r="A13" s="187" t="s">
        <v>103</v>
      </c>
      <c r="B13" s="180" t="s">
        <v>67</v>
      </c>
      <c r="C13" s="181">
        <v>2335.0000000000068</v>
      </c>
      <c r="D13" s="181">
        <v>580.00000000000125</v>
      </c>
      <c r="E13" s="181">
        <v>279.99999999999966</v>
      </c>
      <c r="F13" s="181">
        <v>62.000000000000071</v>
      </c>
      <c r="G13" s="181">
        <v>1313.0000000000007</v>
      </c>
      <c r="H13" s="183">
        <v>4570</v>
      </c>
      <c r="I13" s="171"/>
      <c r="J13" s="192"/>
    </row>
    <row r="14" spans="1:10">
      <c r="A14" s="187" t="s">
        <v>104</v>
      </c>
      <c r="B14" s="180" t="s">
        <v>68</v>
      </c>
      <c r="C14" s="181">
        <v>69.000000000000099</v>
      </c>
      <c r="D14" s="181">
        <v>3723.9999999999877</v>
      </c>
      <c r="E14" s="181">
        <v>29.999999999999989</v>
      </c>
      <c r="F14" s="181">
        <v>67.999999999999901</v>
      </c>
      <c r="G14" s="181">
        <v>130.00000000000031</v>
      </c>
      <c r="H14" s="183">
        <v>4021</v>
      </c>
      <c r="I14" s="171"/>
      <c r="J14" s="192"/>
    </row>
    <row r="15" spans="1:10" ht="13.5" customHeight="1">
      <c r="A15" s="187"/>
      <c r="B15" s="180" t="s">
        <v>71</v>
      </c>
      <c r="C15" s="181">
        <v>40.000000000000007</v>
      </c>
      <c r="D15" s="181">
        <v>345.0000000000004</v>
      </c>
      <c r="E15" s="181">
        <v>7.0000000000000036</v>
      </c>
      <c r="F15" s="181" t="s">
        <v>80</v>
      </c>
      <c r="G15" s="181" t="s">
        <v>79</v>
      </c>
      <c r="H15" s="183">
        <v>450</v>
      </c>
      <c r="I15" s="171"/>
      <c r="J15" s="192"/>
    </row>
    <row r="16" spans="1:10">
      <c r="A16" s="187"/>
      <c r="B16" s="180" t="s">
        <v>69</v>
      </c>
      <c r="C16" s="181">
        <v>41.000000000000028</v>
      </c>
      <c r="D16" s="181">
        <v>34.999999999999993</v>
      </c>
      <c r="E16" s="181">
        <v>6.9999999999999991</v>
      </c>
      <c r="F16" s="181" t="s">
        <v>80</v>
      </c>
      <c r="G16" s="181" t="s">
        <v>79</v>
      </c>
      <c r="H16" s="183">
        <v>113</v>
      </c>
      <c r="I16" s="171"/>
      <c r="J16" s="192"/>
    </row>
    <row r="17" spans="1:10" ht="13.5" customHeight="1">
      <c r="A17" s="187"/>
      <c r="B17" s="180" t="s">
        <v>72</v>
      </c>
      <c r="C17" s="181">
        <v>176.00000000000006</v>
      </c>
      <c r="D17" s="181">
        <v>223.00000000000026</v>
      </c>
      <c r="E17" s="181">
        <v>35.999999999999979</v>
      </c>
      <c r="F17" s="181" t="s">
        <v>79</v>
      </c>
      <c r="G17" s="181" t="s">
        <v>79</v>
      </c>
      <c r="H17" s="183">
        <v>555</v>
      </c>
      <c r="I17" s="171"/>
      <c r="J17" s="192"/>
    </row>
    <row r="18" spans="1:10" ht="13.5" customHeight="1">
      <c r="A18" s="188"/>
      <c r="B18" s="189" t="s">
        <v>65</v>
      </c>
      <c r="C18" s="190">
        <v>2661</v>
      </c>
      <c r="D18" s="190">
        <v>4906.9999999999764</v>
      </c>
      <c r="E18" s="190">
        <v>359.99999999999983</v>
      </c>
      <c r="F18" s="190">
        <v>141.99999999999952</v>
      </c>
      <c r="G18" s="190">
        <v>1639.0000000000077</v>
      </c>
      <c r="H18" s="191">
        <v>9709</v>
      </c>
      <c r="I18" s="171"/>
      <c r="J18" s="192"/>
    </row>
    <row r="19" spans="1:10">
      <c r="A19" s="187" t="s">
        <v>105</v>
      </c>
      <c r="B19" s="180" t="s">
        <v>67</v>
      </c>
      <c r="C19" s="181">
        <v>50694.999999999374</v>
      </c>
      <c r="D19" s="181">
        <v>6056.999999999899</v>
      </c>
      <c r="E19" s="181">
        <v>5041.9999999999372</v>
      </c>
      <c r="F19" s="181">
        <v>892.99999999999852</v>
      </c>
      <c r="G19" s="181">
        <v>16486.000000000124</v>
      </c>
      <c r="H19" s="183">
        <v>79173</v>
      </c>
      <c r="I19" s="171"/>
      <c r="J19" s="193"/>
    </row>
    <row r="20" spans="1:10">
      <c r="A20" s="187" t="s">
        <v>106</v>
      </c>
      <c r="B20" s="180" t="s">
        <v>68</v>
      </c>
      <c r="C20" s="194">
        <v>635.00000000000102</v>
      </c>
      <c r="D20" s="194">
        <v>75633.999999999549</v>
      </c>
      <c r="E20" s="194">
        <v>631.99999999999807</v>
      </c>
      <c r="F20" s="194">
        <v>738.00000000000239</v>
      </c>
      <c r="G20" s="195">
        <v>1607.999999999985</v>
      </c>
      <c r="H20" s="183">
        <v>79247</v>
      </c>
      <c r="I20" s="171"/>
      <c r="J20" s="192"/>
    </row>
    <row r="21" spans="1:10" ht="12.75" customHeight="1">
      <c r="A21" s="187"/>
      <c r="B21" s="180" t="s">
        <v>71</v>
      </c>
      <c r="C21" s="181">
        <v>260.0000000000004</v>
      </c>
      <c r="D21" s="181">
        <v>2832.9999999999991</v>
      </c>
      <c r="E21" s="181">
        <v>36.000000000000043</v>
      </c>
      <c r="F21" s="181" t="s">
        <v>80</v>
      </c>
      <c r="G21" s="181" t="s">
        <v>79</v>
      </c>
      <c r="H21" s="183">
        <v>3388</v>
      </c>
      <c r="I21" s="171"/>
      <c r="J21" s="192"/>
    </row>
    <row r="22" spans="1:10">
      <c r="A22" s="187"/>
      <c r="B22" s="180" t="s">
        <v>69</v>
      </c>
      <c r="C22" s="181">
        <v>1620.9999999999968</v>
      </c>
      <c r="D22" s="181">
        <v>1198.9999999999991</v>
      </c>
      <c r="E22" s="181">
        <v>235.00000000000043</v>
      </c>
      <c r="F22" s="181">
        <v>84.000000000000327</v>
      </c>
      <c r="G22" s="181">
        <v>1069.9999999999982</v>
      </c>
      <c r="H22" s="183">
        <v>4209</v>
      </c>
      <c r="I22" s="171"/>
      <c r="J22" s="192"/>
    </row>
    <row r="23" spans="1:10" ht="12.75" customHeight="1">
      <c r="A23" s="187"/>
      <c r="B23" s="180" t="s">
        <v>72</v>
      </c>
      <c r="C23" s="181">
        <v>1806.9999999999989</v>
      </c>
      <c r="D23" s="181">
        <v>2511.0000000000018</v>
      </c>
      <c r="E23" s="181">
        <v>412.99999999999858</v>
      </c>
      <c r="F23" s="181" t="s">
        <v>79</v>
      </c>
      <c r="G23" s="181" t="s">
        <v>79</v>
      </c>
      <c r="H23" s="183">
        <v>6017</v>
      </c>
      <c r="I23" s="171"/>
      <c r="J23" s="192"/>
    </row>
    <row r="24" spans="1:10" ht="12.75" customHeight="1">
      <c r="A24" s="188"/>
      <c r="B24" s="189" t="s">
        <v>65</v>
      </c>
      <c r="C24" s="190">
        <v>55017.999999999622</v>
      </c>
      <c r="D24" s="190">
        <v>88233.999999999985</v>
      </c>
      <c r="E24" s="190">
        <v>6358.0000000000728</v>
      </c>
      <c r="F24" s="190">
        <v>1800.0000000000052</v>
      </c>
      <c r="G24" s="190">
        <v>20623.99999999948</v>
      </c>
      <c r="H24" s="196">
        <v>172034</v>
      </c>
      <c r="I24" s="171"/>
      <c r="J24" s="192"/>
    </row>
    <row r="25" spans="1:10">
      <c r="A25" s="187" t="s">
        <v>107</v>
      </c>
      <c r="B25" s="180" t="s">
        <v>67</v>
      </c>
      <c r="C25" s="181">
        <v>46</v>
      </c>
      <c r="D25" s="181" t="s">
        <v>80</v>
      </c>
      <c r="E25" s="181" t="s">
        <v>79</v>
      </c>
      <c r="F25" s="181" t="s">
        <v>80</v>
      </c>
      <c r="G25" s="181">
        <v>26.000000000000007</v>
      </c>
      <c r="H25" s="183">
        <v>80</v>
      </c>
      <c r="I25" s="171"/>
      <c r="J25" s="192"/>
    </row>
    <row r="26" spans="1:10">
      <c r="A26" s="187" t="s">
        <v>106</v>
      </c>
      <c r="B26" s="180" t="s">
        <v>81</v>
      </c>
      <c r="C26" s="197">
        <v>739.99999999999966</v>
      </c>
      <c r="D26" s="198" t="s">
        <v>79</v>
      </c>
      <c r="E26" s="199" t="s">
        <v>79</v>
      </c>
      <c r="F26" s="198" t="s">
        <v>79</v>
      </c>
      <c r="G26" s="200">
        <v>410.00000000000051</v>
      </c>
      <c r="H26" s="183">
        <v>1630</v>
      </c>
      <c r="I26" s="171"/>
      <c r="J26" s="192"/>
    </row>
    <row r="27" spans="1:10">
      <c r="A27" s="188"/>
      <c r="B27" s="189" t="s">
        <v>65</v>
      </c>
      <c r="C27" s="190">
        <v>786.0000000000008</v>
      </c>
      <c r="D27" s="190">
        <v>222.99999999999966</v>
      </c>
      <c r="E27" s="190">
        <v>224.00000000000031</v>
      </c>
      <c r="F27" s="190">
        <v>41.000000000000014</v>
      </c>
      <c r="G27" s="190">
        <v>435.99999999999989</v>
      </c>
      <c r="H27" s="191">
        <v>1710</v>
      </c>
      <c r="I27" s="171"/>
      <c r="J27" s="192"/>
    </row>
    <row r="28" spans="1:10">
      <c r="A28" s="187" t="s">
        <v>108</v>
      </c>
      <c r="B28" s="180" t="s">
        <v>67</v>
      </c>
      <c r="C28" s="181">
        <v>21800.999999999902</v>
      </c>
      <c r="D28" s="181">
        <v>1047.0000000000009</v>
      </c>
      <c r="E28" s="181">
        <v>1176.9999999999984</v>
      </c>
      <c r="F28" s="181">
        <v>153.99999999999983</v>
      </c>
      <c r="G28" s="181">
        <v>3544.9999999999914</v>
      </c>
      <c r="H28" s="183">
        <v>27723.999999999894</v>
      </c>
      <c r="I28" s="171"/>
      <c r="J28" s="192"/>
    </row>
    <row r="29" spans="1:10" ht="12.75" customHeight="1">
      <c r="A29" s="187" t="s">
        <v>109</v>
      </c>
      <c r="B29" s="180" t="s">
        <v>68</v>
      </c>
      <c r="C29" s="181" t="s">
        <v>79</v>
      </c>
      <c r="D29" s="181">
        <v>35392.999999999949</v>
      </c>
      <c r="E29" s="181" t="s">
        <v>79</v>
      </c>
      <c r="F29" s="181">
        <v>274.99999999999955</v>
      </c>
      <c r="G29" s="181" t="s">
        <v>79</v>
      </c>
      <c r="H29" s="183">
        <v>37074.999999999949</v>
      </c>
      <c r="I29" s="171"/>
      <c r="J29" s="192"/>
    </row>
    <row r="30" spans="1:10" ht="12.75" customHeight="1">
      <c r="A30" s="187" t="s">
        <v>110</v>
      </c>
      <c r="B30" s="180" t="s">
        <v>71</v>
      </c>
      <c r="C30" s="181" t="s">
        <v>80</v>
      </c>
      <c r="D30" s="181">
        <v>682.99999999999955</v>
      </c>
      <c r="E30" s="181" t="s">
        <v>80</v>
      </c>
      <c r="F30" s="181">
        <v>0</v>
      </c>
      <c r="G30" s="181" t="s">
        <v>79</v>
      </c>
      <c r="H30" s="183">
        <v>733.99999999999966</v>
      </c>
      <c r="I30" s="171"/>
      <c r="J30" s="192"/>
    </row>
    <row r="31" spans="1:10" ht="12.75" customHeight="1">
      <c r="A31" s="187"/>
      <c r="B31" s="180" t="s">
        <v>69</v>
      </c>
      <c r="C31" s="181">
        <v>1541.0000000000025</v>
      </c>
      <c r="D31" s="181">
        <v>407.00000000000057</v>
      </c>
      <c r="E31" s="181">
        <v>117.0000000000001</v>
      </c>
      <c r="F31" s="181">
        <v>34.999999999999979</v>
      </c>
      <c r="G31" s="181">
        <v>487.00000000000034</v>
      </c>
      <c r="H31" s="183">
        <v>2587.0000000000036</v>
      </c>
      <c r="I31" s="171"/>
    </row>
    <row r="32" spans="1:10">
      <c r="A32" s="187"/>
      <c r="B32" s="180" t="s">
        <v>72</v>
      </c>
      <c r="C32" s="181">
        <v>3803.0000000000123</v>
      </c>
      <c r="D32" s="181">
        <v>3916.000000000005</v>
      </c>
      <c r="E32" s="181">
        <v>523</v>
      </c>
      <c r="F32" s="181">
        <v>126.99999999999959</v>
      </c>
      <c r="G32" s="181">
        <v>1238</v>
      </c>
      <c r="H32" s="183">
        <v>9607.0000000000182</v>
      </c>
      <c r="I32" s="171"/>
    </row>
    <row r="33" spans="1:13">
      <c r="A33" s="188"/>
      <c r="B33" s="189" t="s">
        <v>65</v>
      </c>
      <c r="C33" s="190">
        <v>27710.99999999992</v>
      </c>
      <c r="D33" s="190">
        <v>41445.999999999956</v>
      </c>
      <c r="E33" s="190">
        <v>2138</v>
      </c>
      <c r="F33" s="190">
        <v>590.99999999999898</v>
      </c>
      <c r="G33" s="190">
        <v>5840.9999999999918</v>
      </c>
      <c r="H33" s="191">
        <v>77726.999999999869</v>
      </c>
      <c r="I33" s="171"/>
    </row>
    <row r="34" spans="1:13">
      <c r="A34" s="187" t="s">
        <v>111</v>
      </c>
      <c r="B34" s="180" t="s">
        <v>67</v>
      </c>
      <c r="C34" s="181">
        <v>10016.00000000006</v>
      </c>
      <c r="D34" s="181">
        <v>1326.9999999999989</v>
      </c>
      <c r="E34" s="181">
        <v>805.99999999999829</v>
      </c>
      <c r="F34" s="181">
        <v>111.99999999999926</v>
      </c>
      <c r="G34" s="181">
        <v>1850.000000000008</v>
      </c>
      <c r="H34" s="183">
        <v>14111.000000000064</v>
      </c>
      <c r="I34" s="171"/>
    </row>
    <row r="35" spans="1:13" ht="12.75" customHeight="1">
      <c r="A35" s="187" t="s">
        <v>112</v>
      </c>
      <c r="B35" s="180" t="s">
        <v>84</v>
      </c>
      <c r="C35" s="181">
        <v>335.99999999999955</v>
      </c>
      <c r="D35" s="181">
        <v>27212.000000000142</v>
      </c>
      <c r="E35" s="181">
        <v>173.99999999999969</v>
      </c>
      <c r="F35" s="181">
        <v>118.9999999999998</v>
      </c>
      <c r="G35" s="181">
        <v>351.00000000000017</v>
      </c>
      <c r="H35" s="183">
        <v>28192.000000000142</v>
      </c>
      <c r="I35" s="171"/>
    </row>
    <row r="36" spans="1:13" ht="12.75" customHeight="1">
      <c r="A36" s="187"/>
      <c r="B36" s="180" t="s">
        <v>85</v>
      </c>
      <c r="C36" s="181">
        <v>12878.000000000038</v>
      </c>
      <c r="D36" s="181">
        <v>2708.0000000000095</v>
      </c>
      <c r="E36" s="181">
        <v>1605.0000000000102</v>
      </c>
      <c r="F36" s="181">
        <v>323.00000000000102</v>
      </c>
      <c r="G36" s="181">
        <v>3000.9999999999909</v>
      </c>
      <c r="H36" s="183">
        <v>20515.000000000051</v>
      </c>
      <c r="I36" s="171"/>
    </row>
    <row r="37" spans="1:13">
      <c r="A37" s="188"/>
      <c r="B37" s="189" t="s">
        <v>65</v>
      </c>
      <c r="C37" s="190">
        <v>23230.000000000098</v>
      </c>
      <c r="D37" s="190">
        <v>31247.000000000149</v>
      </c>
      <c r="E37" s="190">
        <v>2585.0000000000082</v>
      </c>
      <c r="F37" s="190">
        <v>554.00000000000011</v>
      </c>
      <c r="G37" s="190">
        <v>5201.9999999999991</v>
      </c>
      <c r="H37" s="191">
        <v>62818.000000000255</v>
      </c>
      <c r="I37" s="171"/>
    </row>
    <row r="38" spans="1:13">
      <c r="A38" s="187" t="s">
        <v>86</v>
      </c>
      <c r="B38" s="180" t="s">
        <v>67</v>
      </c>
      <c r="C38" s="181">
        <v>2036.0000000000016</v>
      </c>
      <c r="D38" s="181">
        <v>2208.0000000000005</v>
      </c>
      <c r="E38" s="181">
        <v>168.99999999999994</v>
      </c>
      <c r="F38" s="181">
        <v>51.999999999999979</v>
      </c>
      <c r="G38" s="181">
        <v>924</v>
      </c>
      <c r="H38" s="183">
        <v>5389</v>
      </c>
      <c r="I38" s="171"/>
    </row>
    <row r="39" spans="1:13" ht="12.75" customHeight="1">
      <c r="A39" s="187"/>
      <c r="B39" s="180" t="s">
        <v>68</v>
      </c>
      <c r="C39" s="181">
        <v>6.9999999999999973</v>
      </c>
      <c r="D39" s="181">
        <v>245.00000000000006</v>
      </c>
      <c r="E39" s="181" t="s">
        <v>80</v>
      </c>
      <c r="F39" s="181" t="s">
        <v>79</v>
      </c>
      <c r="G39" s="181" t="s">
        <v>79</v>
      </c>
      <c r="H39" s="183">
        <v>267</v>
      </c>
      <c r="I39" s="171"/>
    </row>
    <row r="40" spans="1:13" ht="13.5" customHeight="1">
      <c r="A40" s="187"/>
      <c r="B40" s="180" t="s">
        <v>71</v>
      </c>
      <c r="C40" s="181">
        <v>31</v>
      </c>
      <c r="D40" s="181">
        <v>29.000000000000011</v>
      </c>
      <c r="E40" s="181" t="s">
        <v>80</v>
      </c>
      <c r="F40" s="181" t="s">
        <v>80</v>
      </c>
      <c r="G40" s="181" t="s">
        <v>79</v>
      </c>
      <c r="H40" s="183">
        <v>79</v>
      </c>
      <c r="I40" s="171"/>
    </row>
    <row r="41" spans="1:13" ht="12.75" customHeight="1">
      <c r="A41" s="188"/>
      <c r="B41" s="189" t="s">
        <v>65</v>
      </c>
      <c r="C41" s="190">
        <v>2073.9999999999977</v>
      </c>
      <c r="D41" s="190">
        <v>2481.9999999999968</v>
      </c>
      <c r="E41" s="190">
        <v>172.00000000000014</v>
      </c>
      <c r="F41" s="190">
        <v>59.999999999999972</v>
      </c>
      <c r="G41" s="190">
        <v>947.00000000000523</v>
      </c>
      <c r="H41" s="191">
        <v>5735</v>
      </c>
      <c r="I41" s="171"/>
    </row>
    <row r="42" spans="1:13" ht="12.75" customHeight="1">
      <c r="A42" s="187" t="s">
        <v>87</v>
      </c>
      <c r="B42" s="180"/>
      <c r="C42" s="181">
        <v>11</v>
      </c>
      <c r="D42" s="181">
        <v>31</v>
      </c>
      <c r="E42" s="181" t="s">
        <v>80</v>
      </c>
      <c r="F42" s="181">
        <v>0</v>
      </c>
      <c r="G42" s="181" t="s">
        <v>79</v>
      </c>
      <c r="H42" s="183">
        <v>50</v>
      </c>
      <c r="I42" s="171"/>
    </row>
    <row r="43" spans="1:13" ht="28.5" customHeight="1" thickBot="1">
      <c r="A43" s="424" t="s">
        <v>88</v>
      </c>
      <c r="B43" s="425"/>
      <c r="C43" s="201">
        <v>115486.99999999964</v>
      </c>
      <c r="D43" s="201">
        <v>174731.00000000006</v>
      </c>
      <c r="E43" s="201">
        <v>12300.00000000008</v>
      </c>
      <c r="F43" s="201">
        <v>3275.0000000000041</v>
      </c>
      <c r="G43" s="201">
        <v>37781.999999999483</v>
      </c>
      <c r="H43" s="202">
        <v>343574.00000000012</v>
      </c>
      <c r="I43" s="171"/>
    </row>
    <row r="44" spans="1:13" ht="13.5" thickTop="1">
      <c r="A44" s="180"/>
      <c r="C44" s="203"/>
      <c r="D44" s="203"/>
      <c r="E44" s="203"/>
      <c r="F44" s="203"/>
      <c r="G44" s="203"/>
      <c r="H44" s="203"/>
    </row>
    <row r="45" spans="1:13">
      <c r="A45" s="170" t="s">
        <v>90</v>
      </c>
      <c r="C45" s="204"/>
      <c r="D45" s="204"/>
      <c r="E45" s="204"/>
      <c r="F45" s="204"/>
      <c r="G45" s="204"/>
      <c r="H45" s="170"/>
    </row>
    <row r="46" spans="1:13" ht="14.25">
      <c r="A46" s="205" t="s">
        <v>91</v>
      </c>
      <c r="C46" s="170"/>
      <c r="D46" s="170"/>
      <c r="E46" s="170"/>
      <c r="F46" s="170"/>
      <c r="G46" s="170"/>
      <c r="H46" s="170"/>
    </row>
    <row r="47" spans="1:13">
      <c r="C47" s="170"/>
      <c r="D47" s="170"/>
      <c r="E47" s="170"/>
      <c r="F47" s="170"/>
      <c r="G47" s="170"/>
      <c r="H47" s="170"/>
    </row>
    <row r="48" spans="1:13" s="207" customFormat="1" ht="29.25" customHeight="1">
      <c r="A48" s="426" t="s">
        <v>92</v>
      </c>
      <c r="B48" s="426"/>
      <c r="C48" s="426"/>
      <c r="D48" s="426"/>
      <c r="E48" s="426"/>
      <c r="F48" s="206"/>
      <c r="G48" s="206"/>
      <c r="H48" s="206"/>
      <c r="I48" s="206"/>
      <c r="J48" s="206"/>
      <c r="K48" s="206"/>
      <c r="L48" s="206"/>
      <c r="M48" s="206"/>
    </row>
    <row r="49" ht="12.75" customHeight="1"/>
    <row r="54" ht="12.75" customHeight="1"/>
    <row r="55" ht="12.75" customHeight="1"/>
    <row r="61" ht="12.75" customHeight="1"/>
    <row r="67" ht="12.75" customHeight="1"/>
    <row r="73" ht="12.75" customHeight="1"/>
    <row r="79" ht="12.75" customHeight="1"/>
    <row r="85" ht="12.75" customHeight="1"/>
  </sheetData>
  <mergeCells count="9">
    <mergeCell ref="G4:G6"/>
    <mergeCell ref="H4:H6"/>
    <mergeCell ref="A7:A9"/>
    <mergeCell ref="A43:B43"/>
    <mergeCell ref="A48:E48"/>
    <mergeCell ref="C4:C6"/>
    <mergeCell ref="D4:D6"/>
    <mergeCell ref="E4:E6"/>
    <mergeCell ref="F4:F6"/>
  </mergeCells>
  <conditionalFormatting sqref="C7:H43">
    <cfRule type="cellIs" dxfId="0" priority="1" operator="between">
      <formula>1</formula>
      <formula>4</formula>
    </cfRule>
  </conditionalFormatting>
  <pageMargins left="0.75" right="0.75" top="1" bottom="1" header="0.5" footer="0.5"/>
  <pageSetup paperSize="9" scale="7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4"/>
  <sheetViews>
    <sheetView workbookViewId="0">
      <selection activeCell="M21" sqref="M21"/>
    </sheetView>
  </sheetViews>
  <sheetFormatPr defaultColWidth="9.140625" defaultRowHeight="12.75"/>
  <cols>
    <col min="1" max="1" width="22.85546875" style="4" customWidth="1"/>
    <col min="2" max="2" width="47.140625" style="4" bestFit="1" customWidth="1"/>
    <col min="3" max="8" width="13.7109375" style="5" customWidth="1"/>
    <col min="9" max="9" width="9.140625" style="4" customWidth="1"/>
    <col min="10" max="16384" width="9.140625" style="4"/>
  </cols>
  <sheetData>
    <row r="1" spans="1:9" s="2" customFormat="1" ht="18">
      <c r="A1" s="2" t="s">
        <v>119</v>
      </c>
      <c r="C1" s="3"/>
      <c r="D1" s="3"/>
      <c r="E1" s="3"/>
      <c r="F1" s="3"/>
      <c r="G1" s="3"/>
      <c r="H1" s="3"/>
    </row>
    <row r="2" spans="1:9" s="2" customFormat="1" ht="18">
      <c r="A2" s="2" t="s">
        <v>56</v>
      </c>
      <c r="C2" s="3"/>
      <c r="D2" s="3"/>
      <c r="E2" s="3"/>
      <c r="F2" s="3"/>
      <c r="G2" s="3"/>
      <c r="H2" s="3"/>
    </row>
    <row r="3" spans="1:9" ht="13.5" customHeight="1" thickBot="1"/>
    <row r="4" spans="1:9" s="6" customFormat="1" ht="13.5" customHeight="1" thickTop="1" thickBot="1">
      <c r="A4" s="26"/>
      <c r="B4" s="27"/>
      <c r="C4" s="433" t="s">
        <v>58</v>
      </c>
      <c r="D4" s="433" t="s">
        <v>59</v>
      </c>
      <c r="E4" s="429" t="s">
        <v>116</v>
      </c>
      <c r="F4" s="429" t="s">
        <v>117</v>
      </c>
      <c r="G4" s="429" t="s">
        <v>118</v>
      </c>
      <c r="H4" s="430" t="s">
        <v>61</v>
      </c>
    </row>
    <row r="5" spans="1:9" s="6" customFormat="1" ht="14.25" thickTop="1" thickBot="1">
      <c r="A5" s="28"/>
      <c r="B5" s="7"/>
      <c r="C5" s="433"/>
      <c r="D5" s="433"/>
      <c r="E5" s="429"/>
      <c r="F5" s="429"/>
      <c r="G5" s="429"/>
      <c r="H5" s="430"/>
    </row>
    <row r="6" spans="1:9" s="6" customFormat="1" ht="13.5" thickTop="1">
      <c r="A6" s="29"/>
      <c r="B6" s="8"/>
      <c r="C6" s="433"/>
      <c r="D6" s="433"/>
      <c r="E6" s="429"/>
      <c r="F6" s="429"/>
      <c r="G6" s="429"/>
      <c r="H6" s="430"/>
    </row>
    <row r="7" spans="1:9" ht="15" customHeight="1">
      <c r="A7" s="431" t="s">
        <v>62</v>
      </c>
      <c r="B7" s="9" t="s">
        <v>63</v>
      </c>
      <c r="C7" s="10">
        <v>1782</v>
      </c>
      <c r="D7" s="10">
        <v>3531</v>
      </c>
      <c r="E7" s="10">
        <v>119</v>
      </c>
      <c r="F7" s="10">
        <v>81</v>
      </c>
      <c r="G7" s="10">
        <v>1648</v>
      </c>
      <c r="H7" s="11">
        <v>7161</v>
      </c>
    </row>
    <row r="8" spans="1:9" ht="15" customHeight="1">
      <c r="A8" s="431"/>
      <c r="B8" s="9" t="s">
        <v>64</v>
      </c>
      <c r="C8" s="10">
        <v>389</v>
      </c>
      <c r="D8" s="10">
        <v>276</v>
      </c>
      <c r="E8" s="10">
        <v>12</v>
      </c>
      <c r="F8" s="10">
        <v>12</v>
      </c>
      <c r="G8" s="10">
        <v>421</v>
      </c>
      <c r="H8" s="11">
        <v>1110</v>
      </c>
    </row>
    <row r="9" spans="1:9" ht="15" customHeight="1">
      <c r="A9" s="431"/>
      <c r="B9" s="9" t="s">
        <v>65</v>
      </c>
      <c r="C9" s="10">
        <v>2171</v>
      </c>
      <c r="D9" s="10">
        <v>3807</v>
      </c>
      <c r="E9" s="10">
        <v>131</v>
      </c>
      <c r="F9" s="10">
        <v>93</v>
      </c>
      <c r="G9" s="10">
        <v>2069</v>
      </c>
      <c r="H9" s="11">
        <v>8271</v>
      </c>
    </row>
    <row r="10" spans="1:9">
      <c r="A10" s="30" t="s">
        <v>66</v>
      </c>
      <c r="B10" s="12" t="s">
        <v>67</v>
      </c>
      <c r="C10" s="13">
        <v>1962</v>
      </c>
      <c r="D10" s="13">
        <v>1182</v>
      </c>
      <c r="E10" s="13">
        <v>186</v>
      </c>
      <c r="F10" s="13">
        <v>47</v>
      </c>
      <c r="G10" s="13">
        <v>764</v>
      </c>
      <c r="H10" s="31">
        <v>4141</v>
      </c>
    </row>
    <row r="11" spans="1:9" ht="13.5" customHeight="1">
      <c r="A11" s="32"/>
      <c r="B11" s="9" t="s">
        <v>68</v>
      </c>
      <c r="C11" s="10">
        <v>86</v>
      </c>
      <c r="D11" s="10">
        <v>1411</v>
      </c>
      <c r="E11" s="10">
        <v>11</v>
      </c>
      <c r="F11" s="10">
        <v>22</v>
      </c>
      <c r="G11" s="10">
        <v>193</v>
      </c>
      <c r="H11" s="33">
        <v>1723</v>
      </c>
    </row>
    <row r="12" spans="1:9">
      <c r="A12" s="34"/>
      <c r="B12" s="14" t="s">
        <v>65</v>
      </c>
      <c r="C12" s="15">
        <v>2048</v>
      </c>
      <c r="D12" s="15">
        <v>2593</v>
      </c>
      <c r="E12" s="15">
        <v>197</v>
      </c>
      <c r="F12" s="15">
        <v>69</v>
      </c>
      <c r="G12" s="15">
        <v>957</v>
      </c>
      <c r="H12" s="35">
        <v>5864</v>
      </c>
    </row>
    <row r="13" spans="1:9">
      <c r="A13" s="32" t="s">
        <v>103</v>
      </c>
      <c r="B13" s="9" t="s">
        <v>67</v>
      </c>
      <c r="C13" s="10">
        <v>2471</v>
      </c>
      <c r="D13" s="10">
        <v>522</v>
      </c>
      <c r="E13" s="10">
        <v>275</v>
      </c>
      <c r="F13" s="10">
        <v>66</v>
      </c>
      <c r="G13" s="10">
        <v>1259</v>
      </c>
      <c r="H13" s="33">
        <v>4593</v>
      </c>
    </row>
    <row r="14" spans="1:9">
      <c r="A14" s="32" t="s">
        <v>104</v>
      </c>
      <c r="B14" s="9" t="s">
        <v>68</v>
      </c>
      <c r="C14" s="10">
        <v>66</v>
      </c>
      <c r="D14" s="10">
        <v>3810</v>
      </c>
      <c r="E14" s="10">
        <v>23</v>
      </c>
      <c r="F14" s="10">
        <v>52</v>
      </c>
      <c r="G14" s="10">
        <v>109</v>
      </c>
      <c r="H14" s="33">
        <v>4060</v>
      </c>
    </row>
    <row r="15" spans="1:9" ht="13.5" customHeight="1">
      <c r="A15" s="32"/>
      <c r="B15" s="9" t="s">
        <v>71</v>
      </c>
      <c r="C15" s="10">
        <v>34</v>
      </c>
      <c r="D15" s="10">
        <v>328</v>
      </c>
      <c r="E15" s="10">
        <v>5</v>
      </c>
      <c r="F15" s="10" t="s">
        <v>80</v>
      </c>
      <c r="G15" s="10" t="s">
        <v>79</v>
      </c>
      <c r="H15" s="33">
        <v>420</v>
      </c>
    </row>
    <row r="16" spans="1:9">
      <c r="A16" s="32"/>
      <c r="B16" s="9" t="s">
        <v>69</v>
      </c>
      <c r="C16" s="10">
        <v>36</v>
      </c>
      <c r="D16" s="10">
        <v>40</v>
      </c>
      <c r="E16" s="10">
        <v>5</v>
      </c>
      <c r="F16" s="10" t="s">
        <v>80</v>
      </c>
      <c r="G16" s="10" t="s">
        <v>79</v>
      </c>
      <c r="H16" s="33">
        <v>96</v>
      </c>
      <c r="I16"/>
    </row>
    <row r="17" spans="1:9" ht="13.5" customHeight="1">
      <c r="A17" s="32"/>
      <c r="B17" s="9" t="s">
        <v>72</v>
      </c>
      <c r="C17" s="10">
        <v>158</v>
      </c>
      <c r="D17" s="10">
        <v>201</v>
      </c>
      <c r="E17" s="10">
        <v>29</v>
      </c>
      <c r="F17" s="10">
        <v>12</v>
      </c>
      <c r="G17" s="10">
        <v>121</v>
      </c>
      <c r="H17" s="33">
        <v>521</v>
      </c>
      <c r="I17"/>
    </row>
    <row r="18" spans="1:9" ht="13.5" customHeight="1">
      <c r="A18" s="34"/>
      <c r="B18" s="14" t="s">
        <v>65</v>
      </c>
      <c r="C18" s="15">
        <v>2765</v>
      </c>
      <c r="D18" s="15">
        <v>4901</v>
      </c>
      <c r="E18" s="15">
        <v>337</v>
      </c>
      <c r="F18" s="15">
        <v>135</v>
      </c>
      <c r="G18" s="15">
        <v>1552</v>
      </c>
      <c r="H18" s="35">
        <v>9690</v>
      </c>
      <c r="I18"/>
    </row>
    <row r="19" spans="1:9">
      <c r="A19" s="32" t="s">
        <v>105</v>
      </c>
      <c r="B19" s="9" t="s">
        <v>67</v>
      </c>
      <c r="C19" s="10">
        <v>51147</v>
      </c>
      <c r="D19" s="10">
        <v>5740</v>
      </c>
      <c r="E19" s="10">
        <v>4799</v>
      </c>
      <c r="F19" s="10">
        <v>798</v>
      </c>
      <c r="G19" s="10">
        <v>15830</v>
      </c>
      <c r="H19" s="33">
        <v>78314</v>
      </c>
      <c r="I19"/>
    </row>
    <row r="20" spans="1:9">
      <c r="A20" s="32" t="s">
        <v>106</v>
      </c>
      <c r="B20" s="9" t="s">
        <v>68</v>
      </c>
      <c r="C20" s="16">
        <v>605</v>
      </c>
      <c r="D20" s="16">
        <v>75267</v>
      </c>
      <c r="E20" s="16">
        <v>570</v>
      </c>
      <c r="F20" s="17" t="s">
        <v>79</v>
      </c>
      <c r="G20" s="18" t="s">
        <v>79</v>
      </c>
      <c r="H20" s="33">
        <v>78451</v>
      </c>
      <c r="I20"/>
    </row>
    <row r="21" spans="1:9" ht="12.75" customHeight="1">
      <c r="A21" s="32"/>
      <c r="B21" s="9" t="s">
        <v>71</v>
      </c>
      <c r="C21" s="10">
        <v>263</v>
      </c>
      <c r="D21" s="10">
        <v>2679</v>
      </c>
      <c r="E21" s="10">
        <v>35</v>
      </c>
      <c r="F21" s="10" t="s">
        <v>80</v>
      </c>
      <c r="G21" s="10" t="s">
        <v>79</v>
      </c>
      <c r="H21" s="33">
        <v>3190</v>
      </c>
      <c r="I21"/>
    </row>
    <row r="22" spans="1:9">
      <c r="A22" s="32"/>
      <c r="B22" s="9" t="s">
        <v>69</v>
      </c>
      <c r="C22" s="10">
        <v>1625</v>
      </c>
      <c r="D22" s="10">
        <v>1197</v>
      </c>
      <c r="E22" s="10">
        <v>209</v>
      </c>
      <c r="F22" s="10">
        <v>60</v>
      </c>
      <c r="G22" s="10">
        <v>1018</v>
      </c>
      <c r="H22" s="33">
        <v>4109</v>
      </c>
      <c r="I22"/>
    </row>
    <row r="23" spans="1:9" ht="12.75" customHeight="1">
      <c r="A23" s="32"/>
      <c r="B23" s="9" t="s">
        <v>72</v>
      </c>
      <c r="C23" s="10">
        <v>1781</v>
      </c>
      <c r="D23" s="10">
        <v>2464</v>
      </c>
      <c r="E23" s="10">
        <v>420</v>
      </c>
      <c r="F23" s="10">
        <v>87</v>
      </c>
      <c r="G23" s="10">
        <v>1092</v>
      </c>
      <c r="H23" s="33">
        <v>5844</v>
      </c>
      <c r="I23"/>
    </row>
    <row r="24" spans="1:9" ht="12.75" customHeight="1">
      <c r="A24" s="34"/>
      <c r="B24" s="14" t="s">
        <v>65</v>
      </c>
      <c r="C24" s="15">
        <v>55421</v>
      </c>
      <c r="D24" s="15">
        <v>87347</v>
      </c>
      <c r="E24" s="15">
        <v>6033</v>
      </c>
      <c r="F24" s="15">
        <v>1547</v>
      </c>
      <c r="G24" s="15">
        <v>19560</v>
      </c>
      <c r="H24" s="35">
        <v>169908</v>
      </c>
      <c r="I24"/>
    </row>
    <row r="25" spans="1:9">
      <c r="A25" s="32" t="s">
        <v>107</v>
      </c>
      <c r="B25" s="9" t="s">
        <v>67</v>
      </c>
      <c r="C25" s="10">
        <v>52</v>
      </c>
      <c r="D25" s="10" t="s">
        <v>80</v>
      </c>
      <c r="E25" s="10">
        <v>6</v>
      </c>
      <c r="F25" s="10">
        <v>0</v>
      </c>
      <c r="G25" s="10" t="s">
        <v>79</v>
      </c>
      <c r="H25" s="33">
        <v>86</v>
      </c>
      <c r="I25"/>
    </row>
    <row r="26" spans="1:9">
      <c r="A26" s="32" t="s">
        <v>106</v>
      </c>
      <c r="B26" s="9" t="s">
        <v>81</v>
      </c>
      <c r="C26" s="19">
        <v>741</v>
      </c>
      <c r="D26" s="20" t="s">
        <v>79</v>
      </c>
      <c r="E26" s="21">
        <v>220</v>
      </c>
      <c r="F26" s="20">
        <v>36</v>
      </c>
      <c r="G26" s="22" t="s">
        <v>79</v>
      </c>
      <c r="H26" s="33">
        <v>1618</v>
      </c>
      <c r="I26"/>
    </row>
    <row r="27" spans="1:9">
      <c r="A27" s="34"/>
      <c r="B27" s="14" t="s">
        <v>65</v>
      </c>
      <c r="C27" s="15">
        <v>793</v>
      </c>
      <c r="D27" s="15">
        <v>213</v>
      </c>
      <c r="E27" s="15">
        <v>226</v>
      </c>
      <c r="F27" s="15">
        <v>36</v>
      </c>
      <c r="G27" s="15">
        <v>436</v>
      </c>
      <c r="H27" s="35">
        <v>1704</v>
      </c>
      <c r="I27"/>
    </row>
    <row r="28" spans="1:9">
      <c r="A28" s="32" t="s">
        <v>108</v>
      </c>
      <c r="B28" s="9" t="s">
        <v>67</v>
      </c>
      <c r="C28" s="10">
        <v>21952</v>
      </c>
      <c r="D28" s="10">
        <v>978</v>
      </c>
      <c r="E28" s="10">
        <v>1112</v>
      </c>
      <c r="F28" s="10">
        <v>148</v>
      </c>
      <c r="G28" s="10">
        <v>3244</v>
      </c>
      <c r="H28" s="33">
        <v>27434</v>
      </c>
      <c r="I28"/>
    </row>
    <row r="29" spans="1:9" ht="12.75" customHeight="1">
      <c r="A29" s="32" t="s">
        <v>109</v>
      </c>
      <c r="B29" s="9" t="s">
        <v>68</v>
      </c>
      <c r="C29" s="10">
        <v>528</v>
      </c>
      <c r="D29" s="10">
        <v>35801</v>
      </c>
      <c r="E29" s="10" t="s">
        <v>79</v>
      </c>
      <c r="F29" s="10">
        <v>186</v>
      </c>
      <c r="G29" s="10" t="s">
        <v>79</v>
      </c>
      <c r="H29" s="33">
        <v>37267</v>
      </c>
      <c r="I29"/>
    </row>
    <row r="30" spans="1:9" ht="12.75" customHeight="1">
      <c r="A30" s="32" t="s">
        <v>110</v>
      </c>
      <c r="B30" s="9" t="s">
        <v>71</v>
      </c>
      <c r="C30" s="10">
        <v>0</v>
      </c>
      <c r="D30" s="10">
        <v>644</v>
      </c>
      <c r="E30" s="10" t="s">
        <v>80</v>
      </c>
      <c r="F30" s="10">
        <v>0</v>
      </c>
      <c r="G30" s="10" t="s">
        <v>79</v>
      </c>
      <c r="H30" s="33">
        <v>694</v>
      </c>
      <c r="I30"/>
    </row>
    <row r="31" spans="1:9" ht="12.75" customHeight="1">
      <c r="A31" s="32"/>
      <c r="B31" s="9" t="s">
        <v>69</v>
      </c>
      <c r="C31" s="10">
        <v>1542</v>
      </c>
      <c r="D31" s="10">
        <v>379</v>
      </c>
      <c r="E31" s="10">
        <v>110</v>
      </c>
      <c r="F31" s="10">
        <v>29</v>
      </c>
      <c r="G31" s="10">
        <v>435</v>
      </c>
      <c r="H31" s="33">
        <v>2495</v>
      </c>
      <c r="I31"/>
    </row>
    <row r="32" spans="1:9">
      <c r="A32" s="32"/>
      <c r="B32" s="9" t="s">
        <v>72</v>
      </c>
      <c r="C32" s="10">
        <v>3843</v>
      </c>
      <c r="D32" s="10">
        <v>3899</v>
      </c>
      <c r="E32" s="10">
        <v>502</v>
      </c>
      <c r="F32" s="10">
        <v>134</v>
      </c>
      <c r="G32" s="10">
        <v>1164</v>
      </c>
      <c r="H32" s="33">
        <v>9542</v>
      </c>
      <c r="I32"/>
    </row>
    <row r="33" spans="1:9">
      <c r="A33" s="34"/>
      <c r="B33" s="14" t="s">
        <v>65</v>
      </c>
      <c r="C33" s="15">
        <v>27865</v>
      </c>
      <c r="D33" s="15">
        <v>41701</v>
      </c>
      <c r="E33" s="15">
        <v>1992</v>
      </c>
      <c r="F33" s="15">
        <v>497</v>
      </c>
      <c r="G33" s="15">
        <v>5377</v>
      </c>
      <c r="H33" s="35">
        <v>77432</v>
      </c>
      <c r="I33"/>
    </row>
    <row r="34" spans="1:9">
      <c r="A34" s="32" t="s">
        <v>111</v>
      </c>
      <c r="B34" s="9" t="s">
        <v>67</v>
      </c>
      <c r="C34" s="10">
        <v>10352</v>
      </c>
      <c r="D34" s="10">
        <v>1297</v>
      </c>
      <c r="E34" s="10">
        <v>780</v>
      </c>
      <c r="F34" s="10">
        <v>103</v>
      </c>
      <c r="G34" s="10">
        <v>1735</v>
      </c>
      <c r="H34" s="33">
        <v>14267</v>
      </c>
      <c r="I34"/>
    </row>
    <row r="35" spans="1:9" ht="12.75" customHeight="1">
      <c r="A35" s="32" t="s">
        <v>112</v>
      </c>
      <c r="B35" s="9" t="s">
        <v>84</v>
      </c>
      <c r="C35" s="10">
        <v>298</v>
      </c>
      <c r="D35" s="10">
        <v>27243</v>
      </c>
      <c r="E35" s="10">
        <v>171</v>
      </c>
      <c r="F35" s="10">
        <v>110</v>
      </c>
      <c r="G35" s="10">
        <v>313</v>
      </c>
      <c r="H35" s="33">
        <v>28135</v>
      </c>
      <c r="I35"/>
    </row>
    <row r="36" spans="1:9" ht="12.75" customHeight="1">
      <c r="A36" s="32"/>
      <c r="B36" s="9" t="s">
        <v>85</v>
      </c>
      <c r="C36" s="10">
        <v>13307</v>
      </c>
      <c r="D36" s="10">
        <v>2599</v>
      </c>
      <c r="E36" s="10">
        <v>1500</v>
      </c>
      <c r="F36" s="10">
        <v>280</v>
      </c>
      <c r="G36" s="10">
        <v>2893</v>
      </c>
      <c r="H36" s="33">
        <v>20579</v>
      </c>
    </row>
    <row r="37" spans="1:9">
      <c r="A37" s="34"/>
      <c r="B37" s="14" t="s">
        <v>65</v>
      </c>
      <c r="C37" s="15">
        <v>23957</v>
      </c>
      <c r="D37" s="15">
        <v>31139</v>
      </c>
      <c r="E37" s="15">
        <v>2451</v>
      </c>
      <c r="F37" s="15">
        <v>493</v>
      </c>
      <c r="G37" s="15">
        <v>4941</v>
      </c>
      <c r="H37" s="35">
        <v>62981</v>
      </c>
    </row>
    <row r="38" spans="1:9">
      <c r="A38" s="32" t="s">
        <v>86</v>
      </c>
      <c r="B38" s="9" t="s">
        <v>67</v>
      </c>
      <c r="C38" s="10">
        <v>1928</v>
      </c>
      <c r="D38" s="10">
        <v>2103</v>
      </c>
      <c r="E38" s="10" t="s">
        <v>79</v>
      </c>
      <c r="F38" s="10" t="s">
        <v>79</v>
      </c>
      <c r="G38" s="10">
        <v>882</v>
      </c>
      <c r="H38" s="33">
        <v>5097</v>
      </c>
    </row>
    <row r="39" spans="1:9" ht="12.75" customHeight="1">
      <c r="A39" s="32"/>
      <c r="B39" s="9" t="s">
        <v>68</v>
      </c>
      <c r="C39" s="10">
        <v>5</v>
      </c>
      <c r="D39" s="10">
        <v>218</v>
      </c>
      <c r="E39" s="10" t="s">
        <v>80</v>
      </c>
      <c r="F39" s="10" t="s">
        <v>80</v>
      </c>
      <c r="G39" s="10" t="s">
        <v>80</v>
      </c>
      <c r="H39" s="33">
        <v>232</v>
      </c>
    </row>
    <row r="40" spans="1:9" ht="13.5" customHeight="1">
      <c r="A40" s="32"/>
      <c r="B40" s="9" t="s">
        <v>71</v>
      </c>
      <c r="C40" s="10">
        <v>33</v>
      </c>
      <c r="D40" s="10">
        <v>27</v>
      </c>
      <c r="E40" s="10" t="s">
        <v>80</v>
      </c>
      <c r="F40" s="10" t="s">
        <v>80</v>
      </c>
      <c r="G40" s="10" t="s">
        <v>79</v>
      </c>
      <c r="H40" s="33">
        <v>78</v>
      </c>
    </row>
    <row r="41" spans="1:9" ht="12.75" customHeight="1">
      <c r="A41" s="34"/>
      <c r="B41" s="14" t="s">
        <v>65</v>
      </c>
      <c r="C41" s="15">
        <v>1966</v>
      </c>
      <c r="D41" s="15">
        <v>2348</v>
      </c>
      <c r="E41" s="15">
        <v>145</v>
      </c>
      <c r="F41" s="15">
        <v>46</v>
      </c>
      <c r="G41" s="15">
        <v>902</v>
      </c>
      <c r="H41" s="35">
        <v>5407</v>
      </c>
    </row>
    <row r="42" spans="1:9" ht="28.5" customHeight="1" thickBot="1">
      <c r="A42" s="432" t="s">
        <v>88</v>
      </c>
      <c r="B42" s="432"/>
      <c r="C42" s="36">
        <v>116986</v>
      </c>
      <c r="D42" s="36">
        <v>174049</v>
      </c>
      <c r="E42" s="36">
        <v>11512</v>
      </c>
      <c r="F42" s="36">
        <v>2916</v>
      </c>
      <c r="G42" s="36">
        <v>35794</v>
      </c>
      <c r="H42" s="37">
        <v>341257</v>
      </c>
    </row>
    <row r="43" spans="1:9" ht="13.5" thickTop="1">
      <c r="A43" s="9"/>
      <c r="C43" s="23"/>
      <c r="D43" s="23"/>
      <c r="E43" s="23"/>
      <c r="F43" s="23"/>
      <c r="G43" s="23"/>
      <c r="H43" s="23"/>
    </row>
    <row r="44" spans="1:9">
      <c r="A44" s="4" t="s">
        <v>90</v>
      </c>
      <c r="C44" s="24"/>
      <c r="D44" s="24"/>
      <c r="E44" s="24"/>
      <c r="F44" s="24"/>
      <c r="G44" s="24"/>
      <c r="H44" s="4"/>
    </row>
    <row r="45" spans="1:9" ht="14.25">
      <c r="A45" s="25" t="s">
        <v>120</v>
      </c>
      <c r="C45" s="4"/>
      <c r="D45" s="4"/>
      <c r="E45" s="4"/>
      <c r="F45" s="4"/>
      <c r="G45" s="4"/>
      <c r="H45" s="4"/>
    </row>
    <row r="46" spans="1:9">
      <c r="C46" s="4"/>
      <c r="D46" s="4"/>
      <c r="E46" s="4"/>
      <c r="F46" s="4"/>
      <c r="G46" s="4"/>
      <c r="H46" s="4"/>
    </row>
    <row r="47" spans="1:9" ht="12.75" customHeight="1"/>
    <row r="48" spans="1:9" ht="12.75" customHeight="1"/>
    <row r="53" ht="12.75" customHeight="1"/>
    <row r="54" ht="12.75" customHeight="1"/>
    <row r="60" ht="12.75" customHeight="1"/>
    <row r="66" ht="12.75" customHeight="1"/>
    <row r="72" ht="12.75" customHeight="1"/>
    <row r="78" ht="12.75" customHeight="1"/>
    <row r="84" ht="12.75" customHeight="1"/>
  </sheetData>
  <mergeCells count="8">
    <mergeCell ref="F4:F6"/>
    <mergeCell ref="G4:G6"/>
    <mergeCell ref="H4:H6"/>
    <mergeCell ref="A7:A9"/>
    <mergeCell ref="A42:B42"/>
    <mergeCell ref="C4:C6"/>
    <mergeCell ref="D4:D6"/>
    <mergeCell ref="E4:E6"/>
  </mergeCells>
  <pageMargins left="0.75000000000000011" right="0.75000000000000011" top="1" bottom="1" header="0.5" footer="0.5"/>
  <pageSetup paperSize="0" scale="75"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6"/>
  <sheetViews>
    <sheetView workbookViewId="0"/>
  </sheetViews>
  <sheetFormatPr defaultColWidth="9.140625" defaultRowHeight="12.75"/>
  <cols>
    <col min="1" max="1" width="22.85546875" style="40" customWidth="1"/>
    <col min="2" max="2" width="47.140625" style="40" bestFit="1" customWidth="1"/>
    <col min="3" max="8" width="13.7109375" style="41" customWidth="1"/>
    <col min="9" max="9" width="9.140625" style="40" customWidth="1"/>
    <col min="10" max="16384" width="9.140625" style="40"/>
  </cols>
  <sheetData>
    <row r="1" spans="1:8" s="38" customFormat="1" ht="18">
      <c r="A1" s="38" t="s">
        <v>121</v>
      </c>
      <c r="C1" s="39"/>
      <c r="D1" s="39"/>
      <c r="E1" s="39"/>
      <c r="F1" s="39"/>
      <c r="G1" s="39"/>
      <c r="H1" s="39"/>
    </row>
    <row r="2" spans="1:8" s="38" customFormat="1" ht="18">
      <c r="A2" s="38" t="s">
        <v>56</v>
      </c>
      <c r="C2" s="39"/>
      <c r="D2" s="39"/>
      <c r="E2" s="39"/>
      <c r="F2" s="39"/>
      <c r="G2" s="39"/>
      <c r="H2" s="39"/>
    </row>
    <row r="3" spans="1:8" ht="13.5" customHeight="1" thickBot="1"/>
    <row r="4" spans="1:8" s="44" customFormat="1" ht="14.25" thickTop="1" thickBot="1">
      <c r="A4" s="42"/>
      <c r="B4" s="43"/>
      <c r="C4" s="437" t="s">
        <v>58</v>
      </c>
      <c r="D4" s="437" t="s">
        <v>59</v>
      </c>
      <c r="E4" s="434" t="s">
        <v>116</v>
      </c>
      <c r="F4" s="434" t="s">
        <v>117</v>
      </c>
      <c r="G4" s="434" t="s">
        <v>118</v>
      </c>
      <c r="H4" s="435" t="s">
        <v>61</v>
      </c>
    </row>
    <row r="5" spans="1:8" s="44" customFormat="1" ht="14.25" thickTop="1" thickBot="1">
      <c r="A5" s="45"/>
      <c r="B5" s="46"/>
      <c r="C5" s="437"/>
      <c r="D5" s="437"/>
      <c r="E5" s="434"/>
      <c r="F5" s="434"/>
      <c r="G5" s="434"/>
      <c r="H5" s="435"/>
    </row>
    <row r="6" spans="1:8" s="44" customFormat="1" ht="13.5" thickTop="1">
      <c r="A6" s="47"/>
      <c r="B6" s="48"/>
      <c r="C6" s="437"/>
      <c r="D6" s="437"/>
      <c r="E6" s="434"/>
      <c r="F6" s="434"/>
      <c r="G6" s="434"/>
      <c r="H6" s="435"/>
    </row>
    <row r="7" spans="1:8" ht="15" customHeight="1">
      <c r="A7" s="436" t="s">
        <v>62</v>
      </c>
      <c r="B7" s="49" t="s">
        <v>63</v>
      </c>
      <c r="C7" s="50">
        <v>1964</v>
      </c>
      <c r="D7" s="50">
        <v>3496</v>
      </c>
      <c r="E7" s="50">
        <v>114</v>
      </c>
      <c r="F7" s="50">
        <v>32</v>
      </c>
      <c r="G7" s="50">
        <v>1886</v>
      </c>
      <c r="H7" s="51">
        <v>7492</v>
      </c>
    </row>
    <row r="8" spans="1:8" ht="15" customHeight="1">
      <c r="A8" s="436"/>
      <c r="B8" s="49" t="s">
        <v>64</v>
      </c>
      <c r="C8" s="50">
        <v>374</v>
      </c>
      <c r="D8" s="50">
        <v>285</v>
      </c>
      <c r="E8" s="50">
        <v>17</v>
      </c>
      <c r="F8" s="50">
        <v>6</v>
      </c>
      <c r="G8" s="50">
        <v>542</v>
      </c>
      <c r="H8" s="51">
        <v>1224</v>
      </c>
    </row>
    <row r="9" spans="1:8" ht="15" customHeight="1">
      <c r="A9" s="436"/>
      <c r="B9" s="49" t="s">
        <v>65</v>
      </c>
      <c r="C9" s="50">
        <v>2338</v>
      </c>
      <c r="D9" s="50">
        <v>3781</v>
      </c>
      <c r="E9" s="50">
        <v>131</v>
      </c>
      <c r="F9" s="50">
        <v>38</v>
      </c>
      <c r="G9" s="50">
        <v>2428</v>
      </c>
      <c r="H9" s="51">
        <v>8716</v>
      </c>
    </row>
    <row r="10" spans="1:8">
      <c r="A10" s="52" t="s">
        <v>66</v>
      </c>
      <c r="B10" s="53" t="s">
        <v>67</v>
      </c>
      <c r="C10" s="54">
        <v>1997</v>
      </c>
      <c r="D10" s="54">
        <v>1045</v>
      </c>
      <c r="E10" s="54">
        <v>174</v>
      </c>
      <c r="F10" s="54">
        <v>33</v>
      </c>
      <c r="G10" s="54">
        <v>866</v>
      </c>
      <c r="H10" s="55">
        <v>4115</v>
      </c>
    </row>
    <row r="11" spans="1:8">
      <c r="A11" s="56"/>
      <c r="B11" s="49" t="s">
        <v>68</v>
      </c>
      <c r="C11" s="50">
        <v>30</v>
      </c>
      <c r="D11" s="50">
        <v>1380</v>
      </c>
      <c r="E11" s="50">
        <v>126</v>
      </c>
      <c r="F11" s="50">
        <v>14</v>
      </c>
      <c r="G11" s="50">
        <v>239</v>
      </c>
      <c r="H11" s="57">
        <v>1789</v>
      </c>
    </row>
    <row r="12" spans="1:8">
      <c r="A12" s="58"/>
      <c r="B12" s="59" t="s">
        <v>65</v>
      </c>
      <c r="C12" s="60">
        <v>2027</v>
      </c>
      <c r="D12" s="60">
        <v>2425</v>
      </c>
      <c r="E12" s="60">
        <v>300</v>
      </c>
      <c r="F12" s="60">
        <v>47</v>
      </c>
      <c r="G12" s="60">
        <v>1105</v>
      </c>
      <c r="H12" s="61">
        <v>5904</v>
      </c>
    </row>
    <row r="13" spans="1:8">
      <c r="A13" s="56" t="s">
        <v>103</v>
      </c>
      <c r="B13" s="49" t="s">
        <v>67</v>
      </c>
      <c r="C13" s="50">
        <v>2482</v>
      </c>
      <c r="D13" s="50">
        <v>563</v>
      </c>
      <c r="E13" s="50">
        <v>259</v>
      </c>
      <c r="F13" s="50">
        <v>50</v>
      </c>
      <c r="G13" s="50">
        <v>1169</v>
      </c>
      <c r="H13" s="57">
        <v>4523</v>
      </c>
    </row>
    <row r="14" spans="1:8">
      <c r="A14" s="56" t="s">
        <v>104</v>
      </c>
      <c r="B14" s="49" t="s">
        <v>68</v>
      </c>
      <c r="C14" s="50">
        <v>50</v>
      </c>
      <c r="D14" s="50">
        <v>3766</v>
      </c>
      <c r="E14" s="50">
        <v>31</v>
      </c>
      <c r="F14" s="50">
        <v>51</v>
      </c>
      <c r="G14" s="50">
        <v>130</v>
      </c>
      <c r="H14" s="57">
        <v>4028</v>
      </c>
    </row>
    <row r="15" spans="1:8">
      <c r="A15" s="56"/>
      <c r="B15" s="49" t="s">
        <v>71</v>
      </c>
      <c r="C15" s="50">
        <v>41</v>
      </c>
      <c r="D15" s="50">
        <v>310</v>
      </c>
      <c r="E15" s="50" t="s">
        <v>80</v>
      </c>
      <c r="F15" s="50">
        <v>0</v>
      </c>
      <c r="G15" s="50" t="s">
        <v>79</v>
      </c>
      <c r="H15" s="57">
        <v>408</v>
      </c>
    </row>
    <row r="16" spans="1:8">
      <c r="A16" s="56"/>
      <c r="B16" s="49" t="s">
        <v>69</v>
      </c>
      <c r="C16" s="50">
        <v>41</v>
      </c>
      <c r="D16" s="50">
        <v>33</v>
      </c>
      <c r="E16" s="50" t="s">
        <v>79</v>
      </c>
      <c r="F16" s="50" t="s">
        <v>80</v>
      </c>
      <c r="G16" s="50">
        <v>14</v>
      </c>
      <c r="H16" s="57">
        <v>94</v>
      </c>
    </row>
    <row r="17" spans="1:18">
      <c r="A17" s="56"/>
      <c r="B17" s="49" t="s">
        <v>72</v>
      </c>
      <c r="C17" s="50">
        <v>162</v>
      </c>
      <c r="D17" s="50">
        <v>193</v>
      </c>
      <c r="E17" s="50">
        <v>34</v>
      </c>
      <c r="F17" s="50" t="s">
        <v>79</v>
      </c>
      <c r="G17" s="50" t="s">
        <v>79</v>
      </c>
      <c r="H17" s="57">
        <v>500</v>
      </c>
    </row>
    <row r="18" spans="1:18">
      <c r="A18" s="58"/>
      <c r="B18" s="59" t="s">
        <v>65</v>
      </c>
      <c r="C18" s="60">
        <v>2776</v>
      </c>
      <c r="D18" s="60">
        <v>4865</v>
      </c>
      <c r="E18" s="60">
        <v>333</v>
      </c>
      <c r="F18" s="60">
        <v>110</v>
      </c>
      <c r="G18" s="60">
        <v>1469</v>
      </c>
      <c r="H18" s="61">
        <v>9553</v>
      </c>
      <c r="I18" s="62"/>
    </row>
    <row r="19" spans="1:18">
      <c r="A19" s="56" t="s">
        <v>105</v>
      </c>
      <c r="B19" s="49" t="s">
        <v>67</v>
      </c>
      <c r="C19" s="50">
        <v>51765</v>
      </c>
      <c r="D19" s="50">
        <v>5401</v>
      </c>
      <c r="E19" s="50">
        <v>4430</v>
      </c>
      <c r="F19" s="50">
        <v>777</v>
      </c>
      <c r="G19" s="50">
        <v>14949</v>
      </c>
      <c r="H19" s="57">
        <v>77322</v>
      </c>
      <c r="I19" s="44"/>
      <c r="J19" s="63"/>
      <c r="K19" s="44"/>
      <c r="L19" s="44"/>
      <c r="M19" s="44"/>
      <c r="N19" s="44"/>
      <c r="O19" s="44"/>
      <c r="P19" s="44"/>
      <c r="Q19" s="44"/>
      <c r="R19" s="44"/>
    </row>
    <row r="20" spans="1:18">
      <c r="A20" s="56" t="s">
        <v>106</v>
      </c>
      <c r="B20" s="49" t="s">
        <v>68</v>
      </c>
      <c r="C20" s="64">
        <v>600</v>
      </c>
      <c r="D20" s="64">
        <v>74175</v>
      </c>
      <c r="E20" s="64">
        <v>465</v>
      </c>
      <c r="F20" s="64">
        <v>519</v>
      </c>
      <c r="G20" s="65">
        <v>1263</v>
      </c>
      <c r="H20" s="57">
        <v>77022</v>
      </c>
      <c r="I20" s="44"/>
      <c r="J20" s="63"/>
      <c r="K20" s="44"/>
      <c r="L20" s="44"/>
      <c r="M20" s="44"/>
      <c r="N20" s="44"/>
      <c r="O20" s="44"/>
      <c r="P20" s="44"/>
      <c r="Q20" s="44"/>
      <c r="R20" s="44"/>
    </row>
    <row r="21" spans="1:18">
      <c r="A21" s="56"/>
      <c r="B21" s="49" t="s">
        <v>71</v>
      </c>
      <c r="C21" s="50">
        <v>286</v>
      </c>
      <c r="D21" s="50">
        <v>2508</v>
      </c>
      <c r="E21" s="50">
        <v>42</v>
      </c>
      <c r="F21" s="50" t="s">
        <v>80</v>
      </c>
      <c r="G21" s="50" t="s">
        <v>79</v>
      </c>
      <c r="H21" s="57">
        <v>3039</v>
      </c>
    </row>
    <row r="22" spans="1:18">
      <c r="A22" s="56"/>
      <c r="B22" s="49" t="s">
        <v>69</v>
      </c>
      <c r="C22" s="50">
        <v>1547</v>
      </c>
      <c r="D22" s="50">
        <v>1143</v>
      </c>
      <c r="E22" s="50">
        <v>200</v>
      </c>
      <c r="F22" s="50" t="s">
        <v>79</v>
      </c>
      <c r="G22" s="50" t="s">
        <v>79</v>
      </c>
      <c r="H22" s="57">
        <v>3810</v>
      </c>
    </row>
    <row r="23" spans="1:18">
      <c r="A23" s="56"/>
      <c r="B23" s="49" t="s">
        <v>72</v>
      </c>
      <c r="C23" s="50">
        <v>1768</v>
      </c>
      <c r="D23" s="50">
        <v>2449</v>
      </c>
      <c r="E23" s="50">
        <v>421</v>
      </c>
      <c r="F23" s="50">
        <v>73</v>
      </c>
      <c r="G23" s="50">
        <v>1008</v>
      </c>
      <c r="H23" s="57">
        <v>5719</v>
      </c>
    </row>
    <row r="24" spans="1:18">
      <c r="A24" s="58"/>
      <c r="B24" s="59" t="s">
        <v>65</v>
      </c>
      <c r="C24" s="60">
        <v>55966</v>
      </c>
      <c r="D24" s="60">
        <v>85676</v>
      </c>
      <c r="E24" s="60">
        <v>5558</v>
      </c>
      <c r="F24" s="60">
        <v>1425</v>
      </c>
      <c r="G24" s="60">
        <v>18287</v>
      </c>
      <c r="H24" s="61">
        <v>166912</v>
      </c>
    </row>
    <row r="25" spans="1:18">
      <c r="A25" s="56" t="s">
        <v>107</v>
      </c>
      <c r="B25" s="49" t="s">
        <v>67</v>
      </c>
      <c r="C25" s="50">
        <v>71</v>
      </c>
      <c r="D25" s="50" t="s">
        <v>80</v>
      </c>
      <c r="E25" s="50">
        <v>8</v>
      </c>
      <c r="F25" s="50">
        <v>0</v>
      </c>
      <c r="G25" s="50" t="s">
        <v>79</v>
      </c>
      <c r="H25" s="57">
        <v>114</v>
      </c>
    </row>
    <row r="26" spans="1:18">
      <c r="A26" s="56" t="s">
        <v>106</v>
      </c>
      <c r="B26" s="49" t="s">
        <v>81</v>
      </c>
      <c r="C26" s="66">
        <v>766</v>
      </c>
      <c r="D26" s="67" t="s">
        <v>79</v>
      </c>
      <c r="E26" s="68">
        <v>226</v>
      </c>
      <c r="F26" s="67">
        <v>38</v>
      </c>
      <c r="G26" s="69" t="s">
        <v>79</v>
      </c>
      <c r="H26" s="57">
        <v>1643</v>
      </c>
    </row>
    <row r="27" spans="1:18">
      <c r="A27" s="58"/>
      <c r="B27" s="59" t="s">
        <v>65</v>
      </c>
      <c r="C27" s="60">
        <v>837</v>
      </c>
      <c r="D27" s="60">
        <v>210</v>
      </c>
      <c r="E27" s="60">
        <v>234</v>
      </c>
      <c r="F27" s="60">
        <v>38</v>
      </c>
      <c r="G27" s="60">
        <v>438</v>
      </c>
      <c r="H27" s="61">
        <v>1757</v>
      </c>
    </row>
    <row r="28" spans="1:18">
      <c r="A28" s="56" t="s">
        <v>108</v>
      </c>
      <c r="B28" s="49" t="s">
        <v>67</v>
      </c>
      <c r="C28" s="50">
        <v>22055</v>
      </c>
      <c r="D28" s="50">
        <v>925</v>
      </c>
      <c r="E28" s="50">
        <v>1133</v>
      </c>
      <c r="F28" s="50">
        <v>161</v>
      </c>
      <c r="G28" s="50">
        <v>3049</v>
      </c>
      <c r="H28" s="57">
        <v>27323</v>
      </c>
      <c r="I28" s="70"/>
      <c r="J28" s="63"/>
    </row>
    <row r="29" spans="1:18">
      <c r="A29" s="56" t="s">
        <v>109</v>
      </c>
      <c r="B29" s="49" t="s">
        <v>68</v>
      </c>
      <c r="C29" s="50">
        <v>478</v>
      </c>
      <c r="D29" s="50">
        <v>36652</v>
      </c>
      <c r="E29" s="50">
        <v>221</v>
      </c>
      <c r="F29" s="50">
        <v>140</v>
      </c>
      <c r="G29" s="50">
        <v>425</v>
      </c>
      <c r="H29" s="57">
        <v>37916</v>
      </c>
      <c r="J29" s="63"/>
    </row>
    <row r="30" spans="1:18">
      <c r="A30" s="56" t="s">
        <v>110</v>
      </c>
      <c r="B30" s="49" t="s">
        <v>71</v>
      </c>
      <c r="C30" s="50">
        <v>0</v>
      </c>
      <c r="D30" s="50">
        <v>580</v>
      </c>
      <c r="E30" s="50" t="s">
        <v>80</v>
      </c>
      <c r="F30" s="50">
        <v>0</v>
      </c>
      <c r="G30" s="50" t="s">
        <v>79</v>
      </c>
      <c r="H30" s="57">
        <v>620</v>
      </c>
    </row>
    <row r="31" spans="1:18">
      <c r="A31" s="56"/>
      <c r="B31" s="49" t="s">
        <v>69</v>
      </c>
      <c r="C31" s="50">
        <v>1603</v>
      </c>
      <c r="D31" s="50">
        <v>380</v>
      </c>
      <c r="E31" s="50" t="s">
        <v>79</v>
      </c>
      <c r="F31" s="50">
        <v>27</v>
      </c>
      <c r="G31" s="50" t="s">
        <v>79</v>
      </c>
      <c r="H31" s="57">
        <v>2478</v>
      </c>
    </row>
    <row r="32" spans="1:18">
      <c r="A32" s="56"/>
      <c r="B32" s="49" t="s">
        <v>72</v>
      </c>
      <c r="C32" s="50">
        <v>3914</v>
      </c>
      <c r="D32" s="50">
        <v>3801</v>
      </c>
      <c r="E32" s="50">
        <v>488</v>
      </c>
      <c r="F32" s="50">
        <v>105</v>
      </c>
      <c r="G32" s="50">
        <v>1108</v>
      </c>
      <c r="H32" s="57">
        <v>9416</v>
      </c>
    </row>
    <row r="33" spans="1:10">
      <c r="A33" s="58"/>
      <c r="B33" s="59" t="s">
        <v>65</v>
      </c>
      <c r="C33" s="60">
        <v>28050</v>
      </c>
      <c r="D33" s="60">
        <v>42338</v>
      </c>
      <c r="E33" s="60">
        <v>1935</v>
      </c>
      <c r="F33" s="60">
        <v>433</v>
      </c>
      <c r="G33" s="60">
        <v>4997</v>
      </c>
      <c r="H33" s="61">
        <v>77753</v>
      </c>
    </row>
    <row r="34" spans="1:10">
      <c r="A34" s="56" t="s">
        <v>111</v>
      </c>
      <c r="B34" s="49" t="s">
        <v>67</v>
      </c>
      <c r="C34" s="50">
        <v>11043</v>
      </c>
      <c r="D34" s="50">
        <v>1339</v>
      </c>
      <c r="E34" s="50">
        <v>802</v>
      </c>
      <c r="F34" s="50">
        <v>90</v>
      </c>
      <c r="G34" s="50">
        <v>1626</v>
      </c>
      <c r="H34" s="57">
        <v>14900</v>
      </c>
      <c r="J34" s="63"/>
    </row>
    <row r="35" spans="1:10">
      <c r="A35" s="56" t="s">
        <v>112</v>
      </c>
      <c r="B35" s="49" t="s">
        <v>84</v>
      </c>
      <c r="C35" s="50">
        <v>273</v>
      </c>
      <c r="D35" s="50">
        <v>27446</v>
      </c>
      <c r="E35" s="50">
        <v>153</v>
      </c>
      <c r="F35" s="50">
        <v>96</v>
      </c>
      <c r="G35" s="50">
        <v>289</v>
      </c>
      <c r="H35" s="57">
        <v>28257</v>
      </c>
      <c r="J35" s="63"/>
    </row>
    <row r="36" spans="1:10">
      <c r="A36" s="56"/>
      <c r="B36" s="49" t="s">
        <v>85</v>
      </c>
      <c r="C36" s="50">
        <v>13062</v>
      </c>
      <c r="D36" s="50">
        <v>2507</v>
      </c>
      <c r="E36" s="50">
        <v>1400</v>
      </c>
      <c r="F36" s="50">
        <v>263</v>
      </c>
      <c r="G36" s="50">
        <v>2970</v>
      </c>
      <c r="H36" s="57">
        <v>20202</v>
      </c>
    </row>
    <row r="37" spans="1:10">
      <c r="A37" s="58"/>
      <c r="B37" s="59" t="s">
        <v>65</v>
      </c>
      <c r="C37" s="60">
        <v>24378</v>
      </c>
      <c r="D37" s="60">
        <v>31292</v>
      </c>
      <c r="E37" s="60">
        <v>2355</v>
      </c>
      <c r="F37" s="60">
        <v>449</v>
      </c>
      <c r="G37" s="60">
        <v>4885</v>
      </c>
      <c r="H37" s="61">
        <v>63359</v>
      </c>
    </row>
    <row r="38" spans="1:10">
      <c r="A38" s="56" t="s">
        <v>86</v>
      </c>
      <c r="B38" s="49" t="s">
        <v>67</v>
      </c>
      <c r="C38" s="50">
        <v>1876</v>
      </c>
      <c r="D38" s="50">
        <v>2027</v>
      </c>
      <c r="E38" s="50" t="s">
        <v>79</v>
      </c>
      <c r="F38" s="50" t="s">
        <v>79</v>
      </c>
      <c r="G38" s="50">
        <v>799</v>
      </c>
      <c r="H38" s="57">
        <v>4874</v>
      </c>
    </row>
    <row r="39" spans="1:10">
      <c r="A39" s="56"/>
      <c r="B39" s="49" t="s">
        <v>68</v>
      </c>
      <c r="C39" s="50" t="s">
        <v>80</v>
      </c>
      <c r="D39" s="50">
        <v>214</v>
      </c>
      <c r="E39" s="50" t="s">
        <v>80</v>
      </c>
      <c r="F39" s="50">
        <v>0</v>
      </c>
      <c r="G39" s="50" t="s">
        <v>79</v>
      </c>
      <c r="H39" s="57">
        <v>225</v>
      </c>
    </row>
    <row r="40" spans="1:10">
      <c r="A40" s="56"/>
      <c r="B40" s="49" t="s">
        <v>71</v>
      </c>
      <c r="C40" s="50" t="s">
        <v>79</v>
      </c>
      <c r="D40" s="50">
        <v>27</v>
      </c>
      <c r="E40" s="50" t="s">
        <v>80</v>
      </c>
      <c r="F40" s="50" t="s">
        <v>80</v>
      </c>
      <c r="G40" s="50" t="s">
        <v>79</v>
      </c>
      <c r="H40" s="57">
        <v>74</v>
      </c>
    </row>
    <row r="41" spans="1:10">
      <c r="A41" s="58"/>
      <c r="B41" s="59" t="s">
        <v>65</v>
      </c>
      <c r="C41" s="60">
        <v>1910</v>
      </c>
      <c r="D41" s="60">
        <v>2268</v>
      </c>
      <c r="E41" s="60">
        <v>142</v>
      </c>
      <c r="F41" s="60">
        <v>33</v>
      </c>
      <c r="G41" s="60">
        <v>820</v>
      </c>
      <c r="H41" s="61">
        <v>5173</v>
      </c>
    </row>
    <row r="42" spans="1:10" ht="28.5" customHeight="1" thickBot="1">
      <c r="A42" s="71" t="s">
        <v>122</v>
      </c>
      <c r="B42" s="72"/>
      <c r="C42" s="73">
        <f t="shared" ref="C42:H42" si="0">+C41+C37+C33+C27+C24+C18+C12+C9</f>
        <v>118282</v>
      </c>
      <c r="D42" s="73">
        <f t="shared" si="0"/>
        <v>172855</v>
      </c>
      <c r="E42" s="73">
        <f t="shared" si="0"/>
        <v>10988</v>
      </c>
      <c r="F42" s="73">
        <f t="shared" si="0"/>
        <v>2573</v>
      </c>
      <c r="G42" s="73">
        <f t="shared" si="0"/>
        <v>34429</v>
      </c>
      <c r="H42" s="74">
        <f t="shared" si="0"/>
        <v>339127</v>
      </c>
    </row>
    <row r="43" spans="1:10" ht="13.5" thickTop="1">
      <c r="A43" s="49"/>
      <c r="C43" s="70"/>
      <c r="D43" s="70"/>
      <c r="E43" s="70"/>
      <c r="F43" s="70"/>
      <c r="G43" s="70"/>
      <c r="H43" s="70"/>
    </row>
    <row r="44" spans="1:10">
      <c r="A44" s="40" t="s">
        <v>90</v>
      </c>
      <c r="C44" s="24"/>
      <c r="D44" s="24"/>
      <c r="E44" s="24"/>
      <c r="F44" s="24"/>
      <c r="G44" s="24"/>
      <c r="H44" s="40"/>
    </row>
    <row r="45" spans="1:10" ht="14.25">
      <c r="A45" s="75" t="s">
        <v>120</v>
      </c>
      <c r="C45" s="40"/>
      <c r="D45" s="40"/>
      <c r="E45" s="40"/>
      <c r="F45" s="40"/>
      <c r="G45" s="40"/>
      <c r="H45" s="40"/>
    </row>
    <row r="46" spans="1:10">
      <c r="C46" s="40"/>
      <c r="D46" s="40"/>
      <c r="E46" s="40"/>
      <c r="F46" s="40"/>
      <c r="G46" s="40"/>
      <c r="H46" s="40"/>
    </row>
  </sheetData>
  <mergeCells count="7">
    <mergeCell ref="G4:G6"/>
    <mergeCell ref="H4:H6"/>
    <mergeCell ref="A7:A9"/>
    <mergeCell ref="C4:C6"/>
    <mergeCell ref="D4:D6"/>
    <mergeCell ref="E4:E6"/>
    <mergeCell ref="F4:F6"/>
  </mergeCells>
  <pageMargins left="0.74803149606299213" right="0.74803149606299213" top="0.47244094488189003" bottom="0.511811023622047" header="0.47244094488189003" footer="0.511811023622047"/>
  <pageSetup paperSize="0" scale="87" fitToWidth="0" fitToHeight="0" orientation="landscape"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3"/>
  <sheetViews>
    <sheetView workbookViewId="0"/>
  </sheetViews>
  <sheetFormatPr defaultRowHeight="12.75"/>
  <cols>
    <col min="1" max="1" width="21" style="40" customWidth="1"/>
    <col min="2" max="2" width="27.140625" style="40" customWidth="1"/>
    <col min="3" max="3" width="36.140625" style="40" bestFit="1" customWidth="1"/>
    <col min="4" max="9" width="15.7109375" style="41" customWidth="1"/>
    <col min="10" max="256" width="9.140625" style="40" customWidth="1"/>
    <col min="257" max="257" width="21" style="40" customWidth="1"/>
    <col min="258" max="258" width="27.140625" style="40" customWidth="1"/>
    <col min="259" max="259" width="36.140625" style="40" bestFit="1" customWidth="1"/>
    <col min="260" max="265" width="15.7109375" style="40" customWidth="1"/>
    <col min="266" max="512" width="9.140625" style="40" customWidth="1"/>
    <col min="513" max="513" width="21" style="40" customWidth="1"/>
    <col min="514" max="514" width="27.140625" style="40" customWidth="1"/>
    <col min="515" max="515" width="36.140625" style="40" bestFit="1" customWidth="1"/>
    <col min="516" max="521" width="15.7109375" style="40" customWidth="1"/>
    <col min="522" max="768" width="9.140625" style="40" customWidth="1"/>
    <col min="769" max="769" width="21" style="40" customWidth="1"/>
    <col min="770" max="770" width="27.140625" style="40" customWidth="1"/>
    <col min="771" max="771" width="36.140625" style="40" bestFit="1" customWidth="1"/>
    <col min="772" max="777" width="15.7109375" style="40" customWidth="1"/>
    <col min="778" max="1024" width="9.140625" style="40" customWidth="1"/>
    <col min="1025" max="1025" width="21" style="40" customWidth="1"/>
    <col min="1026" max="1026" width="27.140625" style="40" customWidth="1"/>
    <col min="1027" max="1027" width="36.140625" style="40" bestFit="1" customWidth="1"/>
    <col min="1028" max="1033" width="15.7109375" style="40" customWidth="1"/>
    <col min="1034" max="1280" width="9.140625" style="40" customWidth="1"/>
    <col min="1281" max="1281" width="21" style="40" customWidth="1"/>
    <col min="1282" max="1282" width="27.140625" style="40" customWidth="1"/>
    <col min="1283" max="1283" width="36.140625" style="40" bestFit="1" customWidth="1"/>
    <col min="1284" max="1289" width="15.7109375" style="40" customWidth="1"/>
    <col min="1290" max="1536" width="9.140625" style="40" customWidth="1"/>
    <col min="1537" max="1537" width="21" style="40" customWidth="1"/>
    <col min="1538" max="1538" width="27.140625" style="40" customWidth="1"/>
    <col min="1539" max="1539" width="36.140625" style="40" bestFit="1" customWidth="1"/>
    <col min="1540" max="1545" width="15.7109375" style="40" customWidth="1"/>
    <col min="1546" max="1792" width="9.140625" style="40" customWidth="1"/>
    <col min="1793" max="1793" width="21" style="40" customWidth="1"/>
    <col min="1794" max="1794" width="27.140625" style="40" customWidth="1"/>
    <col min="1795" max="1795" width="36.140625" style="40" bestFit="1" customWidth="1"/>
    <col min="1796" max="1801" width="15.7109375" style="40" customWidth="1"/>
    <col min="1802" max="2048" width="9.140625" style="40" customWidth="1"/>
    <col min="2049" max="2049" width="21" style="40" customWidth="1"/>
    <col min="2050" max="2050" width="27.140625" style="40" customWidth="1"/>
    <col min="2051" max="2051" width="36.140625" style="40" bestFit="1" customWidth="1"/>
    <col min="2052" max="2057" width="15.7109375" style="40" customWidth="1"/>
    <col min="2058" max="2304" width="9.140625" style="40" customWidth="1"/>
    <col min="2305" max="2305" width="21" style="40" customWidth="1"/>
    <col min="2306" max="2306" width="27.140625" style="40" customWidth="1"/>
    <col min="2307" max="2307" width="36.140625" style="40" bestFit="1" customWidth="1"/>
    <col min="2308" max="2313" width="15.7109375" style="40" customWidth="1"/>
    <col min="2314" max="2560" width="9.140625" style="40" customWidth="1"/>
    <col min="2561" max="2561" width="21" style="40" customWidth="1"/>
    <col min="2562" max="2562" width="27.140625" style="40" customWidth="1"/>
    <col min="2563" max="2563" width="36.140625" style="40" bestFit="1" customWidth="1"/>
    <col min="2564" max="2569" width="15.7109375" style="40" customWidth="1"/>
    <col min="2570" max="2816" width="9.140625" style="40" customWidth="1"/>
    <col min="2817" max="2817" width="21" style="40" customWidth="1"/>
    <col min="2818" max="2818" width="27.140625" style="40" customWidth="1"/>
    <col min="2819" max="2819" width="36.140625" style="40" bestFit="1" customWidth="1"/>
    <col min="2820" max="2825" width="15.7109375" style="40" customWidth="1"/>
    <col min="2826" max="3072" width="9.140625" style="40" customWidth="1"/>
    <col min="3073" max="3073" width="21" style="40" customWidth="1"/>
    <col min="3074" max="3074" width="27.140625" style="40" customWidth="1"/>
    <col min="3075" max="3075" width="36.140625" style="40" bestFit="1" customWidth="1"/>
    <col min="3076" max="3081" width="15.7109375" style="40" customWidth="1"/>
    <col min="3082" max="3328" width="9.140625" style="40" customWidth="1"/>
    <col min="3329" max="3329" width="21" style="40" customWidth="1"/>
    <col min="3330" max="3330" width="27.140625" style="40" customWidth="1"/>
    <col min="3331" max="3331" width="36.140625" style="40" bestFit="1" customWidth="1"/>
    <col min="3332" max="3337" width="15.7109375" style="40" customWidth="1"/>
    <col min="3338" max="3584" width="9.140625" style="40" customWidth="1"/>
    <col min="3585" max="3585" width="21" style="40" customWidth="1"/>
    <col min="3586" max="3586" width="27.140625" style="40" customWidth="1"/>
    <col min="3587" max="3587" width="36.140625" style="40" bestFit="1" customWidth="1"/>
    <col min="3588" max="3593" width="15.7109375" style="40" customWidth="1"/>
    <col min="3594" max="3840" width="9.140625" style="40" customWidth="1"/>
    <col min="3841" max="3841" width="21" style="40" customWidth="1"/>
    <col min="3842" max="3842" width="27.140625" style="40" customWidth="1"/>
    <col min="3843" max="3843" width="36.140625" style="40" bestFit="1" customWidth="1"/>
    <col min="3844" max="3849" width="15.7109375" style="40" customWidth="1"/>
    <col min="3850" max="4096" width="9.140625" style="40" customWidth="1"/>
    <col min="4097" max="4097" width="21" style="40" customWidth="1"/>
    <col min="4098" max="4098" width="27.140625" style="40" customWidth="1"/>
    <col min="4099" max="4099" width="36.140625" style="40" bestFit="1" customWidth="1"/>
    <col min="4100" max="4105" width="15.7109375" style="40" customWidth="1"/>
    <col min="4106" max="4352" width="9.140625" style="40" customWidth="1"/>
    <col min="4353" max="4353" width="21" style="40" customWidth="1"/>
    <col min="4354" max="4354" width="27.140625" style="40" customWidth="1"/>
    <col min="4355" max="4355" width="36.140625" style="40" bestFit="1" customWidth="1"/>
    <col min="4356" max="4361" width="15.7109375" style="40" customWidth="1"/>
    <col min="4362" max="4608" width="9.140625" style="40" customWidth="1"/>
    <col min="4609" max="4609" width="21" style="40" customWidth="1"/>
    <col min="4610" max="4610" width="27.140625" style="40" customWidth="1"/>
    <col min="4611" max="4611" width="36.140625" style="40" bestFit="1" customWidth="1"/>
    <col min="4612" max="4617" width="15.7109375" style="40" customWidth="1"/>
    <col min="4618" max="4864" width="9.140625" style="40" customWidth="1"/>
    <col min="4865" max="4865" width="21" style="40" customWidth="1"/>
    <col min="4866" max="4866" width="27.140625" style="40" customWidth="1"/>
    <col min="4867" max="4867" width="36.140625" style="40" bestFit="1" customWidth="1"/>
    <col min="4868" max="4873" width="15.7109375" style="40" customWidth="1"/>
    <col min="4874" max="5120" width="9.140625" style="40" customWidth="1"/>
    <col min="5121" max="5121" width="21" style="40" customWidth="1"/>
    <col min="5122" max="5122" width="27.140625" style="40" customWidth="1"/>
    <col min="5123" max="5123" width="36.140625" style="40" bestFit="1" customWidth="1"/>
    <col min="5124" max="5129" width="15.7109375" style="40" customWidth="1"/>
    <col min="5130" max="5376" width="9.140625" style="40" customWidth="1"/>
    <col min="5377" max="5377" width="21" style="40" customWidth="1"/>
    <col min="5378" max="5378" width="27.140625" style="40" customWidth="1"/>
    <col min="5379" max="5379" width="36.140625" style="40" bestFit="1" customWidth="1"/>
    <col min="5380" max="5385" width="15.7109375" style="40" customWidth="1"/>
    <col min="5386" max="5632" width="9.140625" style="40" customWidth="1"/>
    <col min="5633" max="5633" width="21" style="40" customWidth="1"/>
    <col min="5634" max="5634" width="27.140625" style="40" customWidth="1"/>
    <col min="5635" max="5635" width="36.140625" style="40" bestFit="1" customWidth="1"/>
    <col min="5636" max="5641" width="15.7109375" style="40" customWidth="1"/>
    <col min="5642" max="5888" width="9.140625" style="40" customWidth="1"/>
    <col min="5889" max="5889" width="21" style="40" customWidth="1"/>
    <col min="5890" max="5890" width="27.140625" style="40" customWidth="1"/>
    <col min="5891" max="5891" width="36.140625" style="40" bestFit="1" customWidth="1"/>
    <col min="5892" max="5897" width="15.7109375" style="40" customWidth="1"/>
    <col min="5898" max="6144" width="9.140625" style="40" customWidth="1"/>
    <col min="6145" max="6145" width="21" style="40" customWidth="1"/>
    <col min="6146" max="6146" width="27.140625" style="40" customWidth="1"/>
    <col min="6147" max="6147" width="36.140625" style="40" bestFit="1" customWidth="1"/>
    <col min="6148" max="6153" width="15.7109375" style="40" customWidth="1"/>
    <col min="6154" max="6400" width="9.140625" style="40" customWidth="1"/>
    <col min="6401" max="6401" width="21" style="40" customWidth="1"/>
    <col min="6402" max="6402" width="27.140625" style="40" customWidth="1"/>
    <col min="6403" max="6403" width="36.140625" style="40" bestFit="1" customWidth="1"/>
    <col min="6404" max="6409" width="15.7109375" style="40" customWidth="1"/>
    <col min="6410" max="6656" width="9.140625" style="40" customWidth="1"/>
    <col min="6657" max="6657" width="21" style="40" customWidth="1"/>
    <col min="6658" max="6658" width="27.140625" style="40" customWidth="1"/>
    <col min="6659" max="6659" width="36.140625" style="40" bestFit="1" customWidth="1"/>
    <col min="6660" max="6665" width="15.7109375" style="40" customWidth="1"/>
    <col min="6666" max="6912" width="9.140625" style="40" customWidth="1"/>
    <col min="6913" max="6913" width="21" style="40" customWidth="1"/>
    <col min="6914" max="6914" width="27.140625" style="40" customWidth="1"/>
    <col min="6915" max="6915" width="36.140625" style="40" bestFit="1" customWidth="1"/>
    <col min="6916" max="6921" width="15.7109375" style="40" customWidth="1"/>
    <col min="6922" max="7168" width="9.140625" style="40" customWidth="1"/>
    <col min="7169" max="7169" width="21" style="40" customWidth="1"/>
    <col min="7170" max="7170" width="27.140625" style="40" customWidth="1"/>
    <col min="7171" max="7171" width="36.140625" style="40" bestFit="1" customWidth="1"/>
    <col min="7172" max="7177" width="15.7109375" style="40" customWidth="1"/>
    <col min="7178" max="7424" width="9.140625" style="40" customWidth="1"/>
    <col min="7425" max="7425" width="21" style="40" customWidth="1"/>
    <col min="7426" max="7426" width="27.140625" style="40" customWidth="1"/>
    <col min="7427" max="7427" width="36.140625" style="40" bestFit="1" customWidth="1"/>
    <col min="7428" max="7433" width="15.7109375" style="40" customWidth="1"/>
    <col min="7434" max="7680" width="9.140625" style="40" customWidth="1"/>
    <col min="7681" max="7681" width="21" style="40" customWidth="1"/>
    <col min="7682" max="7682" width="27.140625" style="40" customWidth="1"/>
    <col min="7683" max="7683" width="36.140625" style="40" bestFit="1" customWidth="1"/>
    <col min="7684" max="7689" width="15.7109375" style="40" customWidth="1"/>
    <col min="7690" max="7936" width="9.140625" style="40" customWidth="1"/>
    <col min="7937" max="7937" width="21" style="40" customWidth="1"/>
    <col min="7938" max="7938" width="27.140625" style="40" customWidth="1"/>
    <col min="7939" max="7939" width="36.140625" style="40" bestFit="1" customWidth="1"/>
    <col min="7940" max="7945" width="15.7109375" style="40" customWidth="1"/>
    <col min="7946" max="8192" width="9.140625" style="40" customWidth="1"/>
    <col min="8193" max="8193" width="21" style="40" customWidth="1"/>
    <col min="8194" max="8194" width="27.140625" style="40" customWidth="1"/>
    <col min="8195" max="8195" width="36.140625" style="40" bestFit="1" customWidth="1"/>
    <col min="8196" max="8201" width="15.7109375" style="40" customWidth="1"/>
    <col min="8202" max="8448" width="9.140625" style="40" customWidth="1"/>
    <col min="8449" max="8449" width="21" style="40" customWidth="1"/>
    <col min="8450" max="8450" width="27.140625" style="40" customWidth="1"/>
    <col min="8451" max="8451" width="36.140625" style="40" bestFit="1" customWidth="1"/>
    <col min="8452" max="8457" width="15.7109375" style="40" customWidth="1"/>
    <col min="8458" max="8704" width="9.140625" style="40" customWidth="1"/>
    <col min="8705" max="8705" width="21" style="40" customWidth="1"/>
    <col min="8706" max="8706" width="27.140625" style="40" customWidth="1"/>
    <col min="8707" max="8707" width="36.140625" style="40" bestFit="1" customWidth="1"/>
    <col min="8708" max="8713" width="15.7109375" style="40" customWidth="1"/>
    <col min="8714" max="8960" width="9.140625" style="40" customWidth="1"/>
    <col min="8961" max="8961" width="21" style="40" customWidth="1"/>
    <col min="8962" max="8962" width="27.140625" style="40" customWidth="1"/>
    <col min="8963" max="8963" width="36.140625" style="40" bestFit="1" customWidth="1"/>
    <col min="8964" max="8969" width="15.7109375" style="40" customWidth="1"/>
    <col min="8970" max="9216" width="9.140625" style="40" customWidth="1"/>
    <col min="9217" max="9217" width="21" style="40" customWidth="1"/>
    <col min="9218" max="9218" width="27.140625" style="40" customWidth="1"/>
    <col min="9219" max="9219" width="36.140625" style="40" bestFit="1" customWidth="1"/>
    <col min="9220" max="9225" width="15.7109375" style="40" customWidth="1"/>
    <col min="9226" max="9472" width="9.140625" style="40" customWidth="1"/>
    <col min="9473" max="9473" width="21" style="40" customWidth="1"/>
    <col min="9474" max="9474" width="27.140625" style="40" customWidth="1"/>
    <col min="9475" max="9475" width="36.140625" style="40" bestFit="1" customWidth="1"/>
    <col min="9476" max="9481" width="15.7109375" style="40" customWidth="1"/>
    <col min="9482" max="9728" width="9.140625" style="40" customWidth="1"/>
    <col min="9729" max="9729" width="21" style="40" customWidth="1"/>
    <col min="9730" max="9730" width="27.140625" style="40" customWidth="1"/>
    <col min="9731" max="9731" width="36.140625" style="40" bestFit="1" customWidth="1"/>
    <col min="9732" max="9737" width="15.7109375" style="40" customWidth="1"/>
    <col min="9738" max="9984" width="9.140625" style="40" customWidth="1"/>
    <col min="9985" max="9985" width="21" style="40" customWidth="1"/>
    <col min="9986" max="9986" width="27.140625" style="40" customWidth="1"/>
    <col min="9987" max="9987" width="36.140625" style="40" bestFit="1" customWidth="1"/>
    <col min="9988" max="9993" width="15.7109375" style="40" customWidth="1"/>
    <col min="9994" max="10240" width="9.140625" style="40" customWidth="1"/>
    <col min="10241" max="10241" width="21" style="40" customWidth="1"/>
    <col min="10242" max="10242" width="27.140625" style="40" customWidth="1"/>
    <col min="10243" max="10243" width="36.140625" style="40" bestFit="1" customWidth="1"/>
    <col min="10244" max="10249" width="15.7109375" style="40" customWidth="1"/>
    <col min="10250" max="10496" width="9.140625" style="40" customWidth="1"/>
    <col min="10497" max="10497" width="21" style="40" customWidth="1"/>
    <col min="10498" max="10498" width="27.140625" style="40" customWidth="1"/>
    <col min="10499" max="10499" width="36.140625" style="40" bestFit="1" customWidth="1"/>
    <col min="10500" max="10505" width="15.7109375" style="40" customWidth="1"/>
    <col min="10506" max="10752" width="9.140625" style="40" customWidth="1"/>
    <col min="10753" max="10753" width="21" style="40" customWidth="1"/>
    <col min="10754" max="10754" width="27.140625" style="40" customWidth="1"/>
    <col min="10755" max="10755" width="36.140625" style="40" bestFit="1" customWidth="1"/>
    <col min="10756" max="10761" width="15.7109375" style="40" customWidth="1"/>
    <col min="10762" max="11008" width="9.140625" style="40" customWidth="1"/>
    <col min="11009" max="11009" width="21" style="40" customWidth="1"/>
    <col min="11010" max="11010" width="27.140625" style="40" customWidth="1"/>
    <col min="11011" max="11011" width="36.140625" style="40" bestFit="1" customWidth="1"/>
    <col min="11012" max="11017" width="15.7109375" style="40" customWidth="1"/>
    <col min="11018" max="11264" width="9.140625" style="40" customWidth="1"/>
    <col min="11265" max="11265" width="21" style="40" customWidth="1"/>
    <col min="11266" max="11266" width="27.140625" style="40" customWidth="1"/>
    <col min="11267" max="11267" width="36.140625" style="40" bestFit="1" customWidth="1"/>
    <col min="11268" max="11273" width="15.7109375" style="40" customWidth="1"/>
    <col min="11274" max="11520" width="9.140625" style="40" customWidth="1"/>
    <col min="11521" max="11521" width="21" style="40" customWidth="1"/>
    <col min="11522" max="11522" width="27.140625" style="40" customWidth="1"/>
    <col min="11523" max="11523" width="36.140625" style="40" bestFit="1" customWidth="1"/>
    <col min="11524" max="11529" width="15.7109375" style="40" customWidth="1"/>
    <col min="11530" max="11776" width="9.140625" style="40" customWidth="1"/>
    <col min="11777" max="11777" width="21" style="40" customWidth="1"/>
    <col min="11778" max="11778" width="27.140625" style="40" customWidth="1"/>
    <col min="11779" max="11779" width="36.140625" style="40" bestFit="1" customWidth="1"/>
    <col min="11780" max="11785" width="15.7109375" style="40" customWidth="1"/>
    <col min="11786" max="12032" width="9.140625" style="40" customWidth="1"/>
    <col min="12033" max="12033" width="21" style="40" customWidth="1"/>
    <col min="12034" max="12034" width="27.140625" style="40" customWidth="1"/>
    <col min="12035" max="12035" width="36.140625" style="40" bestFit="1" customWidth="1"/>
    <col min="12036" max="12041" width="15.7109375" style="40" customWidth="1"/>
    <col min="12042" max="12288" width="9.140625" style="40" customWidth="1"/>
    <col min="12289" max="12289" width="21" style="40" customWidth="1"/>
    <col min="12290" max="12290" width="27.140625" style="40" customWidth="1"/>
    <col min="12291" max="12291" width="36.140625" style="40" bestFit="1" customWidth="1"/>
    <col min="12292" max="12297" width="15.7109375" style="40" customWidth="1"/>
    <col min="12298" max="12544" width="9.140625" style="40" customWidth="1"/>
    <col min="12545" max="12545" width="21" style="40" customWidth="1"/>
    <col min="12546" max="12546" width="27.140625" style="40" customWidth="1"/>
    <col min="12547" max="12547" width="36.140625" style="40" bestFit="1" customWidth="1"/>
    <col min="12548" max="12553" width="15.7109375" style="40" customWidth="1"/>
    <col min="12554" max="12800" width="9.140625" style="40" customWidth="1"/>
    <col min="12801" max="12801" width="21" style="40" customWidth="1"/>
    <col min="12802" max="12802" width="27.140625" style="40" customWidth="1"/>
    <col min="12803" max="12803" width="36.140625" style="40" bestFit="1" customWidth="1"/>
    <col min="12804" max="12809" width="15.7109375" style="40" customWidth="1"/>
    <col min="12810" max="13056" width="9.140625" style="40" customWidth="1"/>
    <col min="13057" max="13057" width="21" style="40" customWidth="1"/>
    <col min="13058" max="13058" width="27.140625" style="40" customWidth="1"/>
    <col min="13059" max="13059" width="36.140625" style="40" bestFit="1" customWidth="1"/>
    <col min="13060" max="13065" width="15.7109375" style="40" customWidth="1"/>
    <col min="13066" max="13312" width="9.140625" style="40" customWidth="1"/>
    <col min="13313" max="13313" width="21" style="40" customWidth="1"/>
    <col min="13314" max="13314" width="27.140625" style="40" customWidth="1"/>
    <col min="13315" max="13315" width="36.140625" style="40" bestFit="1" customWidth="1"/>
    <col min="13316" max="13321" width="15.7109375" style="40" customWidth="1"/>
    <col min="13322" max="13568" width="9.140625" style="40" customWidth="1"/>
    <col min="13569" max="13569" width="21" style="40" customWidth="1"/>
    <col min="13570" max="13570" width="27.140625" style="40" customWidth="1"/>
    <col min="13571" max="13571" width="36.140625" style="40" bestFit="1" customWidth="1"/>
    <col min="13572" max="13577" width="15.7109375" style="40" customWidth="1"/>
    <col min="13578" max="13824" width="9.140625" style="40" customWidth="1"/>
    <col min="13825" max="13825" width="21" style="40" customWidth="1"/>
    <col min="13826" max="13826" width="27.140625" style="40" customWidth="1"/>
    <col min="13827" max="13827" width="36.140625" style="40" bestFit="1" customWidth="1"/>
    <col min="13828" max="13833" width="15.7109375" style="40" customWidth="1"/>
    <col min="13834" max="14080" width="9.140625" style="40" customWidth="1"/>
    <col min="14081" max="14081" width="21" style="40" customWidth="1"/>
    <col min="14082" max="14082" width="27.140625" style="40" customWidth="1"/>
    <col min="14083" max="14083" width="36.140625" style="40" bestFit="1" customWidth="1"/>
    <col min="14084" max="14089" width="15.7109375" style="40" customWidth="1"/>
    <col min="14090" max="14336" width="9.140625" style="40" customWidth="1"/>
    <col min="14337" max="14337" width="21" style="40" customWidth="1"/>
    <col min="14338" max="14338" width="27.140625" style="40" customWidth="1"/>
    <col min="14339" max="14339" width="36.140625" style="40" bestFit="1" customWidth="1"/>
    <col min="14340" max="14345" width="15.7109375" style="40" customWidth="1"/>
    <col min="14346" max="14592" width="9.140625" style="40" customWidth="1"/>
    <col min="14593" max="14593" width="21" style="40" customWidth="1"/>
    <col min="14594" max="14594" width="27.140625" style="40" customWidth="1"/>
    <col min="14595" max="14595" width="36.140625" style="40" bestFit="1" customWidth="1"/>
    <col min="14596" max="14601" width="15.7109375" style="40" customWidth="1"/>
    <col min="14602" max="14848" width="9.140625" style="40" customWidth="1"/>
    <col min="14849" max="14849" width="21" style="40" customWidth="1"/>
    <col min="14850" max="14850" width="27.140625" style="40" customWidth="1"/>
    <col min="14851" max="14851" width="36.140625" style="40" bestFit="1" customWidth="1"/>
    <col min="14852" max="14857" width="15.7109375" style="40" customWidth="1"/>
    <col min="14858" max="15104" width="9.140625" style="40" customWidth="1"/>
    <col min="15105" max="15105" width="21" style="40" customWidth="1"/>
    <col min="15106" max="15106" width="27.140625" style="40" customWidth="1"/>
    <col min="15107" max="15107" width="36.140625" style="40" bestFit="1" customWidth="1"/>
    <col min="15108" max="15113" width="15.7109375" style="40" customWidth="1"/>
    <col min="15114" max="15360" width="9.140625" style="40" customWidth="1"/>
    <col min="15361" max="15361" width="21" style="40" customWidth="1"/>
    <col min="15362" max="15362" width="27.140625" style="40" customWidth="1"/>
    <col min="15363" max="15363" width="36.140625" style="40" bestFit="1" customWidth="1"/>
    <col min="15364" max="15369" width="15.7109375" style="40" customWidth="1"/>
    <col min="15370" max="15616" width="9.140625" style="40" customWidth="1"/>
    <col min="15617" max="15617" width="21" style="40" customWidth="1"/>
    <col min="15618" max="15618" width="27.140625" style="40" customWidth="1"/>
    <col min="15619" max="15619" width="36.140625" style="40" bestFit="1" customWidth="1"/>
    <col min="15620" max="15625" width="15.7109375" style="40" customWidth="1"/>
    <col min="15626" max="15872" width="9.140625" style="40" customWidth="1"/>
    <col min="15873" max="15873" width="21" style="40" customWidth="1"/>
    <col min="15874" max="15874" width="27.140625" style="40" customWidth="1"/>
    <col min="15875" max="15875" width="36.140625" style="40" bestFit="1" customWidth="1"/>
    <col min="15876" max="15881" width="15.7109375" style="40" customWidth="1"/>
    <col min="15882" max="16128" width="9.140625" style="40" customWidth="1"/>
    <col min="16129" max="16129" width="21" style="40" customWidth="1"/>
    <col min="16130" max="16130" width="27.140625" style="40" customWidth="1"/>
    <col min="16131" max="16131" width="36.140625" style="40" bestFit="1" customWidth="1"/>
    <col min="16132" max="16137" width="15.7109375" style="40" customWidth="1"/>
    <col min="16138" max="16384" width="9.140625" style="40" customWidth="1"/>
  </cols>
  <sheetData>
    <row r="1" spans="1:11" s="38" customFormat="1" ht="18">
      <c r="A1" s="38" t="s">
        <v>123</v>
      </c>
      <c r="D1" s="39"/>
      <c r="E1" s="39"/>
      <c r="F1" s="39"/>
      <c r="G1" s="39"/>
      <c r="H1" s="39"/>
      <c r="I1" s="39"/>
    </row>
    <row r="2" spans="1:11" s="38" customFormat="1" ht="18">
      <c r="A2" s="38" t="s">
        <v>56</v>
      </c>
      <c r="D2" s="39"/>
      <c r="E2" s="39"/>
      <c r="F2" s="39"/>
      <c r="G2" s="39"/>
      <c r="H2" s="39"/>
      <c r="I2" s="39"/>
    </row>
    <row r="3" spans="1:11" ht="13.5" customHeight="1" thickBot="1"/>
    <row r="4" spans="1:11" s="44" customFormat="1" ht="13.5" customHeight="1" thickBot="1">
      <c r="A4" s="76"/>
      <c r="B4" s="77"/>
      <c r="C4" s="77"/>
      <c r="D4" s="439" t="s">
        <v>58</v>
      </c>
      <c r="E4" s="439" t="s">
        <v>59</v>
      </c>
      <c r="F4" s="439" t="s">
        <v>116</v>
      </c>
      <c r="G4" s="439" t="s">
        <v>117</v>
      </c>
      <c r="H4" s="440" t="s">
        <v>118</v>
      </c>
      <c r="I4" s="438" t="s">
        <v>61</v>
      </c>
    </row>
    <row r="5" spans="1:11" s="44" customFormat="1" ht="13.5" thickBot="1">
      <c r="A5" s="78"/>
      <c r="B5" s="46"/>
      <c r="C5" s="46"/>
      <c r="D5" s="439"/>
      <c r="E5" s="439"/>
      <c r="F5" s="439"/>
      <c r="G5" s="439"/>
      <c r="H5" s="440"/>
      <c r="I5" s="438"/>
    </row>
    <row r="6" spans="1:11" s="44" customFormat="1">
      <c r="A6" s="79"/>
      <c r="B6" s="48"/>
      <c r="C6" s="48"/>
      <c r="D6" s="439"/>
      <c r="E6" s="439"/>
      <c r="F6" s="439"/>
      <c r="G6" s="439"/>
      <c r="H6" s="440"/>
      <c r="I6" s="438"/>
    </row>
    <row r="7" spans="1:11">
      <c r="A7" s="80" t="s">
        <v>66</v>
      </c>
      <c r="B7" s="49" t="s">
        <v>67</v>
      </c>
      <c r="C7" s="49"/>
      <c r="D7" s="81">
        <v>2038</v>
      </c>
      <c r="E7" s="81">
        <v>1102</v>
      </c>
      <c r="F7" s="81">
        <v>199</v>
      </c>
      <c r="G7" s="50">
        <f>[1]Tab_5A!F6</f>
        <v>58.999999999999986</v>
      </c>
      <c r="H7" s="50">
        <f>[1]Tab_5A!G6</f>
        <v>696</v>
      </c>
      <c r="I7" s="51">
        <f>SUM(D7:H7)</f>
        <v>4094</v>
      </c>
    </row>
    <row r="8" spans="1:11">
      <c r="A8" s="80"/>
      <c r="B8" s="49" t="s">
        <v>68</v>
      </c>
      <c r="C8" s="49"/>
      <c r="D8" s="50">
        <v>38</v>
      </c>
      <c r="E8" s="50">
        <v>1574.0000000000002</v>
      </c>
      <c r="F8" s="50">
        <v>14.000000000000005</v>
      </c>
      <c r="G8" s="50">
        <f>[1]Tab_5A!F7</f>
        <v>12.999999999999996</v>
      </c>
      <c r="H8" s="50">
        <f>[1]Tab_5A!G7</f>
        <v>149</v>
      </c>
      <c r="I8" s="51">
        <f>SUM(D8:H8)</f>
        <v>1788.0000000000002</v>
      </c>
    </row>
    <row r="9" spans="1:11">
      <c r="A9" s="82"/>
      <c r="B9" s="59" t="s">
        <v>65</v>
      </c>
      <c r="C9" s="59"/>
      <c r="D9" s="83">
        <v>2076</v>
      </c>
      <c r="E9" s="83">
        <v>2676</v>
      </c>
      <c r="F9" s="83">
        <v>213</v>
      </c>
      <c r="G9" s="60">
        <f>SUM(G7:G8)</f>
        <v>71.999999999999986</v>
      </c>
      <c r="H9" s="60">
        <f>SUM(H7:H8)</f>
        <v>845</v>
      </c>
      <c r="I9" s="84">
        <f>I8+I7</f>
        <v>5882</v>
      </c>
    </row>
    <row r="10" spans="1:11">
      <c r="A10" s="80" t="s">
        <v>103</v>
      </c>
      <c r="B10" s="49" t="s">
        <v>67</v>
      </c>
      <c r="C10" s="49"/>
      <c r="D10" s="50">
        <f>[1]Tab_5A!C9</f>
        <v>2612.9999999999914</v>
      </c>
      <c r="E10" s="50">
        <f>[1]Tab_5A!D9</f>
        <v>529.99999999999909</v>
      </c>
      <c r="F10" s="50">
        <f>[1]Tab_5A!E9</f>
        <v>207.00000000000011</v>
      </c>
      <c r="G10" s="50">
        <f>[1]Tab_5A!F9</f>
        <v>45.999999999999964</v>
      </c>
      <c r="H10" s="50">
        <f>[1]Tab_5A!G9</f>
        <v>1130.0000000000039</v>
      </c>
      <c r="I10" s="51">
        <f>SUM(D10:H10)</f>
        <v>4525.9999999999945</v>
      </c>
    </row>
    <row r="11" spans="1:11">
      <c r="A11" s="80" t="s">
        <v>104</v>
      </c>
      <c r="B11" s="49" t="s">
        <v>81</v>
      </c>
      <c r="C11" s="49"/>
      <c r="D11" s="50">
        <v>0</v>
      </c>
      <c r="E11" s="50">
        <v>0</v>
      </c>
      <c r="F11" s="50">
        <v>0</v>
      </c>
      <c r="G11" s="50">
        <v>0</v>
      </c>
      <c r="H11" s="50">
        <v>0</v>
      </c>
      <c r="I11" s="51">
        <v>0</v>
      </c>
    </row>
    <row r="12" spans="1:11">
      <c r="A12" s="80"/>
      <c r="B12" s="49" t="s">
        <v>68</v>
      </c>
      <c r="C12" s="49"/>
      <c r="D12" s="50">
        <f>[1]Tab_5A!C11</f>
        <v>47.999999999999972</v>
      </c>
      <c r="E12" s="50">
        <f>[1]Tab_5A!D11</f>
        <v>3772.0000000000068</v>
      </c>
      <c r="F12" s="50">
        <f>[1]Tab_5A!E11</f>
        <v>24</v>
      </c>
      <c r="G12" s="50" t="str">
        <f>[1]Tab_5A!F11</f>
        <v>#</v>
      </c>
      <c r="H12" s="50" t="str">
        <f>[1]Tab_5A!G11</f>
        <v>#</v>
      </c>
      <c r="I12" s="51">
        <f>SUM(D12:H12)</f>
        <v>3844.0000000000068</v>
      </c>
    </row>
    <row r="13" spans="1:11">
      <c r="A13" s="80"/>
      <c r="B13" s="49" t="s">
        <v>71</v>
      </c>
      <c r="C13" s="49"/>
      <c r="D13" s="50">
        <f>[1]Tab_5A!C12</f>
        <v>40.999999999999979</v>
      </c>
      <c r="E13" s="50">
        <f>[1]Tab_5A!D12</f>
        <v>313.99999999999989</v>
      </c>
      <c r="F13" s="50">
        <f>[1]Tab_5A!E12</f>
        <v>0</v>
      </c>
      <c r="G13" s="50">
        <f>[1]Tab_5A!F12</f>
        <v>0</v>
      </c>
      <c r="H13" s="50">
        <f>[1]Tab_5A!G12</f>
        <v>41.000000000000014</v>
      </c>
      <c r="I13" s="51">
        <f>SUM(D13:H13)</f>
        <v>395.99999999999989</v>
      </c>
    </row>
    <row r="14" spans="1:11">
      <c r="A14" s="80"/>
      <c r="B14" s="49" t="s">
        <v>69</v>
      </c>
      <c r="C14" s="49"/>
      <c r="D14" s="50">
        <f>[1]Tab_5A!C13</f>
        <v>41.000000000000014</v>
      </c>
      <c r="E14" s="50">
        <f>[1]Tab_5A!D13</f>
        <v>30.999999999999996</v>
      </c>
      <c r="F14" s="50" t="str">
        <f>[1]Tab_5A!E13</f>
        <v>*</v>
      </c>
      <c r="G14" s="50">
        <f>[1]Tab_5A!F13</f>
        <v>0</v>
      </c>
      <c r="H14" s="50" t="str">
        <f>[1]Tab_5A!G13</f>
        <v>#</v>
      </c>
      <c r="I14" s="51">
        <f>SUM(D14:H14)</f>
        <v>72.000000000000014</v>
      </c>
      <c r="K14" s="70"/>
    </row>
    <row r="15" spans="1:11">
      <c r="A15" s="80"/>
      <c r="B15" s="49" t="s">
        <v>72</v>
      </c>
      <c r="C15" s="49"/>
      <c r="D15" s="50">
        <f>[1]Tab_5A!C14</f>
        <v>139.0000000000002</v>
      </c>
      <c r="E15" s="50">
        <f>[1]Tab_5A!D14</f>
        <v>171.00000000000006</v>
      </c>
      <c r="F15" s="50" t="str">
        <f>[1]Tab_5A!E14</f>
        <v>#</v>
      </c>
      <c r="G15" s="50" t="str">
        <f>[1]Tab_5A!F14</f>
        <v>*</v>
      </c>
      <c r="H15" s="50">
        <f>[1]Tab_5A!G14</f>
        <v>125.99999999999987</v>
      </c>
      <c r="I15" s="51">
        <f>SUM(D15:H15)</f>
        <v>436.00000000000011</v>
      </c>
    </row>
    <row r="16" spans="1:11">
      <c r="A16" s="82"/>
      <c r="B16" s="59" t="s">
        <v>65</v>
      </c>
      <c r="C16" s="59"/>
      <c r="D16" s="60">
        <v>2881.9999999999914</v>
      </c>
      <c r="E16" s="60">
        <v>4818.0000000000055</v>
      </c>
      <c r="F16" s="83">
        <v>262</v>
      </c>
      <c r="G16" s="83">
        <v>94.999999999999972</v>
      </c>
      <c r="H16" s="83">
        <v>1437.0000000000034</v>
      </c>
      <c r="I16" s="84">
        <v>9494.0000000000018</v>
      </c>
      <c r="J16" s="62"/>
    </row>
    <row r="17" spans="1:16">
      <c r="A17" s="80" t="s">
        <v>105</v>
      </c>
      <c r="B17" s="49" t="s">
        <v>67</v>
      </c>
      <c r="C17" s="49"/>
      <c r="D17" s="50">
        <v>51708.000000000779</v>
      </c>
      <c r="E17" s="50">
        <v>5051.0000000000446</v>
      </c>
      <c r="F17" s="50">
        <v>4100.9999999999609</v>
      </c>
      <c r="G17" s="50">
        <v>751.00000000000102</v>
      </c>
      <c r="H17" s="50">
        <v>14077.00000000008</v>
      </c>
      <c r="I17" s="51">
        <f>SUM(D17:H17)</f>
        <v>75688.000000000873</v>
      </c>
    </row>
    <row r="18" spans="1:16">
      <c r="A18" s="80" t="s">
        <v>106</v>
      </c>
      <c r="B18" s="49" t="s">
        <v>68</v>
      </c>
      <c r="C18" s="49"/>
      <c r="D18" s="64">
        <v>578.99999999999147</v>
      </c>
      <c r="E18" s="64">
        <v>73197.000000000189</v>
      </c>
      <c r="F18" s="64">
        <v>402.99999999999818</v>
      </c>
      <c r="G18" s="64">
        <v>477.99999999999977</v>
      </c>
      <c r="H18" s="65">
        <v>1113.9999999999982</v>
      </c>
      <c r="I18" s="51">
        <f>SUM(D18:H18)</f>
        <v>75771.000000000175</v>
      </c>
    </row>
    <row r="19" spans="1:16">
      <c r="A19" s="80"/>
      <c r="B19" s="49" t="s">
        <v>71</v>
      </c>
      <c r="C19" s="49"/>
      <c r="D19" s="50">
        <v>275.99999999999972</v>
      </c>
      <c r="E19" s="50">
        <v>2369.0000000000005</v>
      </c>
      <c r="F19" s="50">
        <v>48.999999999999979</v>
      </c>
      <c r="G19" s="50">
        <v>8.0000000000000036</v>
      </c>
      <c r="H19" s="50">
        <v>170.00000000000031</v>
      </c>
      <c r="I19" s="51">
        <f>SUM(D19:H19)</f>
        <v>2872.0000000000005</v>
      </c>
      <c r="O19" s="41"/>
      <c r="P19" s="41"/>
    </row>
    <row r="20" spans="1:16">
      <c r="A20" s="80"/>
      <c r="B20" s="49" t="s">
        <v>69</v>
      </c>
      <c r="C20" s="49"/>
      <c r="D20" s="50">
        <v>1518.0000000000048</v>
      </c>
      <c r="E20" s="50">
        <v>1117.9999999999975</v>
      </c>
      <c r="F20" s="50">
        <v>202.9999999999996</v>
      </c>
      <c r="G20" s="50">
        <v>61.000000000000185</v>
      </c>
      <c r="H20" s="50">
        <v>832.99999999999852</v>
      </c>
      <c r="I20" s="51">
        <f>SUM(D20:H20)</f>
        <v>3733.0000000000005</v>
      </c>
      <c r="P20" s="85"/>
    </row>
    <row r="21" spans="1:16">
      <c r="A21" s="80"/>
      <c r="B21" s="49" t="s">
        <v>72</v>
      </c>
      <c r="C21" s="49"/>
      <c r="D21" s="50">
        <v>1800.0000000000025</v>
      </c>
      <c r="E21" s="50">
        <v>2442.9999999999986</v>
      </c>
      <c r="F21" s="50">
        <v>410.99999999999943</v>
      </c>
      <c r="G21" s="50">
        <v>70.000000000000085</v>
      </c>
      <c r="H21" s="50">
        <v>946.99999999999875</v>
      </c>
      <c r="I21" s="51">
        <f>SUM(D21:H21)</f>
        <v>5670.9999999999991</v>
      </c>
    </row>
    <row r="22" spans="1:16">
      <c r="A22" s="82"/>
      <c r="B22" s="59" t="s">
        <v>65</v>
      </c>
      <c r="C22" s="59"/>
      <c r="D22" s="60">
        <v>55881.000000000779</v>
      </c>
      <c r="E22" s="60">
        <v>84178.000000000233</v>
      </c>
      <c r="F22" s="60">
        <v>5166.9999999999582</v>
      </c>
      <c r="G22" s="60">
        <v>1368.0000000000011</v>
      </c>
      <c r="H22" s="60">
        <v>17141.000000000076</v>
      </c>
      <c r="I22" s="84">
        <v>163735.00000000108</v>
      </c>
    </row>
    <row r="23" spans="1:16">
      <c r="A23" s="80" t="s">
        <v>107</v>
      </c>
      <c r="B23" s="49" t="s">
        <v>67</v>
      </c>
      <c r="C23" s="49"/>
      <c r="D23" s="50">
        <v>119.00000000000006</v>
      </c>
      <c r="E23" s="50">
        <v>7.9999999999999991</v>
      </c>
      <c r="F23" s="50">
        <v>14.000000000000004</v>
      </c>
      <c r="G23" s="50">
        <v>0</v>
      </c>
      <c r="H23" s="50">
        <v>45.000000000000014</v>
      </c>
      <c r="I23" s="51">
        <f>SUM(D23:H23)</f>
        <v>186.00000000000006</v>
      </c>
    </row>
    <row r="24" spans="1:16">
      <c r="A24" s="80" t="s">
        <v>106</v>
      </c>
      <c r="B24" s="49" t="s">
        <v>81</v>
      </c>
      <c r="C24" s="49"/>
      <c r="D24" s="19">
        <v>786.99999999999989</v>
      </c>
      <c r="E24" s="20">
        <v>204.00000000000063</v>
      </c>
      <c r="F24" s="21">
        <v>215.00000000000063</v>
      </c>
      <c r="G24" s="20">
        <v>36.99999999999995</v>
      </c>
      <c r="H24" s="22">
        <v>383.9999999999996</v>
      </c>
      <c r="I24" s="51">
        <f>SUM(D24:H24)</f>
        <v>1627.0000000000007</v>
      </c>
    </row>
    <row r="25" spans="1:16">
      <c r="A25" s="82"/>
      <c r="B25" s="59" t="s">
        <v>65</v>
      </c>
      <c r="C25" s="59"/>
      <c r="D25" s="60">
        <v>906</v>
      </c>
      <c r="E25" s="60">
        <v>212.00000000000063</v>
      </c>
      <c r="F25" s="60">
        <v>229.00000000000063</v>
      </c>
      <c r="G25" s="60">
        <v>36.99999999999995</v>
      </c>
      <c r="H25" s="60">
        <v>428.9999999999996</v>
      </c>
      <c r="I25" s="84">
        <v>1813.0000000000009</v>
      </c>
    </row>
    <row r="26" spans="1:16">
      <c r="A26" s="80" t="s">
        <v>108</v>
      </c>
      <c r="B26" s="49" t="s">
        <v>67</v>
      </c>
      <c r="C26" s="49"/>
      <c r="D26" s="50">
        <v>22714.000000000113</v>
      </c>
      <c r="E26" s="50">
        <v>859.99999999999932</v>
      </c>
      <c r="F26" s="50">
        <v>1081.999999999998</v>
      </c>
      <c r="G26" s="50">
        <v>158.00000000000065</v>
      </c>
      <c r="H26" s="50">
        <v>3103.9999999999927</v>
      </c>
      <c r="I26" s="51">
        <v>27918.000000000102</v>
      </c>
    </row>
    <row r="27" spans="1:16">
      <c r="A27" s="80" t="s">
        <v>109</v>
      </c>
      <c r="B27" s="49" t="s">
        <v>68</v>
      </c>
      <c r="C27" s="49"/>
      <c r="D27" s="50">
        <v>467.00000000000136</v>
      </c>
      <c r="E27" s="50">
        <v>38188.999999999876</v>
      </c>
      <c r="F27" s="50">
        <v>202.99999999999883</v>
      </c>
      <c r="G27" s="50">
        <v>122.99999999999956</v>
      </c>
      <c r="H27" s="50">
        <v>365.00000000000131</v>
      </c>
      <c r="I27" s="51">
        <v>39346.999999999876</v>
      </c>
    </row>
    <row r="28" spans="1:16">
      <c r="A28" s="80" t="s">
        <v>110</v>
      </c>
      <c r="B28" s="49" t="s">
        <v>71</v>
      </c>
      <c r="C28" s="49"/>
      <c r="D28" s="50">
        <v>0</v>
      </c>
      <c r="E28" s="50">
        <v>542.00000000000011</v>
      </c>
      <c r="F28" s="50" t="s">
        <v>80</v>
      </c>
      <c r="G28" s="50">
        <v>0</v>
      </c>
      <c r="H28" s="50" t="s">
        <v>79</v>
      </c>
      <c r="I28" s="51">
        <v>581.00000000000011</v>
      </c>
    </row>
    <row r="29" spans="1:16">
      <c r="A29" s="80"/>
      <c r="B29" s="49" t="s">
        <v>69</v>
      </c>
      <c r="C29" s="49"/>
      <c r="D29" s="50">
        <v>1633.9999999999986</v>
      </c>
      <c r="E29" s="50">
        <v>402</v>
      </c>
      <c r="F29" s="50" t="s">
        <v>79</v>
      </c>
      <c r="G29" s="50">
        <v>23.000000000000011</v>
      </c>
      <c r="H29" s="50" t="s">
        <v>79</v>
      </c>
      <c r="I29" s="51">
        <v>2502</v>
      </c>
    </row>
    <row r="30" spans="1:16">
      <c r="A30" s="80"/>
      <c r="B30" s="49" t="s">
        <v>72</v>
      </c>
      <c r="C30" s="49"/>
      <c r="D30" s="50">
        <v>4026.0000000000009</v>
      </c>
      <c r="E30" s="50">
        <v>3867.0000000000041</v>
      </c>
      <c r="F30" s="50">
        <v>457.99999999999784</v>
      </c>
      <c r="G30" s="50">
        <v>98.999999999999957</v>
      </c>
      <c r="H30" s="50">
        <v>1042.0000000000005</v>
      </c>
      <c r="I30" s="51">
        <v>9492.0000000000036</v>
      </c>
    </row>
    <row r="31" spans="1:16">
      <c r="A31" s="82"/>
      <c r="B31" s="59" t="s">
        <v>65</v>
      </c>
      <c r="C31" s="59"/>
      <c r="D31" s="60">
        <v>28841.000000000113</v>
      </c>
      <c r="E31" s="60">
        <v>43859.999999999884</v>
      </c>
      <c r="F31" s="60">
        <v>1831.9999999999945</v>
      </c>
      <c r="G31" s="60">
        <v>403.00000000000017</v>
      </c>
      <c r="H31" s="60">
        <v>4903.9999999999945</v>
      </c>
      <c r="I31" s="84">
        <v>79839.999999999971</v>
      </c>
    </row>
    <row r="32" spans="1:16">
      <c r="A32" s="80" t="s">
        <v>111</v>
      </c>
      <c r="B32" s="49" t="s">
        <v>67</v>
      </c>
      <c r="C32" s="49"/>
      <c r="D32" s="50">
        <v>11958.999999999998</v>
      </c>
      <c r="E32" s="50">
        <v>1335.0000000000057</v>
      </c>
      <c r="F32" s="50">
        <v>792.00000000000182</v>
      </c>
      <c r="G32" s="50">
        <v>93.999999999999474</v>
      </c>
      <c r="H32" s="50">
        <v>1606.999999999993</v>
      </c>
      <c r="I32" s="51">
        <v>15786.999999999998</v>
      </c>
    </row>
    <row r="33" spans="1:9">
      <c r="A33" s="80" t="s">
        <v>112</v>
      </c>
      <c r="B33" s="49" t="s">
        <v>81</v>
      </c>
      <c r="C33" s="49" t="s">
        <v>124</v>
      </c>
      <c r="D33" s="50">
        <v>259.99999999999829</v>
      </c>
      <c r="E33" s="50">
        <v>26657.999999999978</v>
      </c>
      <c r="F33" s="50">
        <v>149.99999999999957</v>
      </c>
      <c r="G33" s="50">
        <v>81.999999999999744</v>
      </c>
      <c r="H33" s="50">
        <v>240.99999999999872</v>
      </c>
      <c r="I33" s="51">
        <v>27390.999999999978</v>
      </c>
    </row>
    <row r="34" spans="1:9">
      <c r="A34" s="80"/>
      <c r="B34" s="49"/>
      <c r="C34" s="49" t="s">
        <v>125</v>
      </c>
      <c r="D34" s="50">
        <v>12700.999999999976</v>
      </c>
      <c r="E34" s="50">
        <v>2381.0000000000045</v>
      </c>
      <c r="F34" s="50">
        <v>1310.0000000000091</v>
      </c>
      <c r="G34" s="50">
        <v>236.00000000000034</v>
      </c>
      <c r="H34" s="50">
        <v>2907.0000000000082</v>
      </c>
      <c r="I34" s="51">
        <v>19535</v>
      </c>
    </row>
    <row r="35" spans="1:9">
      <c r="A35" s="82"/>
      <c r="B35" s="59" t="s">
        <v>65</v>
      </c>
      <c r="C35" s="59"/>
      <c r="D35" s="60">
        <v>24919.999999999971</v>
      </c>
      <c r="E35" s="60">
        <v>30373.999999999989</v>
      </c>
      <c r="F35" s="60">
        <v>2252.0000000000105</v>
      </c>
      <c r="G35" s="60">
        <v>411.99999999999955</v>
      </c>
      <c r="H35" s="60">
        <v>4755</v>
      </c>
      <c r="I35" s="84">
        <v>62712.999999999964</v>
      </c>
    </row>
    <row r="36" spans="1:9">
      <c r="A36" s="80" t="s">
        <v>86</v>
      </c>
      <c r="B36" s="49" t="s">
        <v>67</v>
      </c>
      <c r="C36" s="49"/>
      <c r="D36" s="50">
        <v>1850.0000000000025</v>
      </c>
      <c r="E36" s="50">
        <v>1995</v>
      </c>
      <c r="F36" s="50" t="s">
        <v>79</v>
      </c>
      <c r="G36" s="50" t="s">
        <v>79</v>
      </c>
      <c r="H36" s="50">
        <v>763.0000000000008</v>
      </c>
      <c r="I36" s="51">
        <v>4763</v>
      </c>
    </row>
    <row r="37" spans="1:9">
      <c r="A37" s="80"/>
      <c r="B37" s="49" t="s">
        <v>68</v>
      </c>
      <c r="C37" s="49"/>
      <c r="D37" s="50" t="s">
        <v>80</v>
      </c>
      <c r="E37" s="50">
        <v>224.00000000000003</v>
      </c>
      <c r="F37" s="50">
        <v>0</v>
      </c>
      <c r="G37" s="50" t="s">
        <v>80</v>
      </c>
      <c r="H37" s="50">
        <v>5</v>
      </c>
      <c r="I37" s="51">
        <v>234.00000000000003</v>
      </c>
    </row>
    <row r="38" spans="1:9">
      <c r="A38" s="80"/>
      <c r="B38" s="49" t="s">
        <v>71</v>
      </c>
      <c r="C38" s="49"/>
      <c r="D38" s="50" t="s">
        <v>79</v>
      </c>
      <c r="E38" s="50">
        <v>21.000000000000004</v>
      </c>
      <c r="F38" s="50" t="s">
        <v>80</v>
      </c>
      <c r="G38" s="50" t="s">
        <v>80</v>
      </c>
      <c r="H38" s="50">
        <v>13</v>
      </c>
      <c r="I38" s="51">
        <v>67</v>
      </c>
    </row>
    <row r="39" spans="1:9">
      <c r="A39" s="82"/>
      <c r="B39" s="59" t="s">
        <v>65</v>
      </c>
      <c r="C39" s="59"/>
      <c r="D39" s="60">
        <v>1885.0000000000025</v>
      </c>
      <c r="E39" s="60">
        <v>2240</v>
      </c>
      <c r="F39" s="60">
        <v>128.00000000000034</v>
      </c>
      <c r="G39" s="60">
        <v>30.000000000000099</v>
      </c>
      <c r="H39" s="60">
        <v>781.0000000000008</v>
      </c>
      <c r="I39" s="84">
        <v>5064</v>
      </c>
    </row>
    <row r="40" spans="1:9" ht="28.5" customHeight="1" thickBot="1">
      <c r="A40" s="86" t="s">
        <v>122</v>
      </c>
      <c r="B40" s="87"/>
      <c r="C40" s="88"/>
      <c r="D40" s="89">
        <f t="shared" ref="D40:I40" si="0">+D9+D16+D22+D25+D31+D35+D39</f>
        <v>117391.00000000086</v>
      </c>
      <c r="E40" s="89">
        <f t="shared" si="0"/>
        <v>168358.00000000012</v>
      </c>
      <c r="F40" s="89">
        <f t="shared" si="0"/>
        <v>10082.999999999964</v>
      </c>
      <c r="G40" s="89">
        <f t="shared" si="0"/>
        <v>2417.0000000000009</v>
      </c>
      <c r="H40" s="89">
        <f t="shared" si="0"/>
        <v>30292.000000000073</v>
      </c>
      <c r="I40" s="90">
        <f t="shared" si="0"/>
        <v>328541.00000000099</v>
      </c>
    </row>
    <row r="41" spans="1:9">
      <c r="A41" s="49"/>
      <c r="C41" s="49"/>
      <c r="D41" s="70"/>
      <c r="E41" s="70"/>
      <c r="F41" s="70"/>
      <c r="G41" s="70"/>
      <c r="H41" s="70"/>
      <c r="I41" s="70"/>
    </row>
    <row r="42" spans="1:9">
      <c r="A42" s="40" t="s">
        <v>90</v>
      </c>
      <c r="D42" s="85"/>
      <c r="E42" s="85"/>
      <c r="F42" s="85"/>
      <c r="G42" s="85"/>
      <c r="H42" s="85"/>
      <c r="I42" s="40"/>
    </row>
    <row r="43" spans="1:9" ht="14.25">
      <c r="A43" s="75" t="s">
        <v>120</v>
      </c>
      <c r="D43" s="40"/>
      <c r="E43" s="40"/>
      <c r="F43" s="40"/>
      <c r="G43" s="40"/>
      <c r="H43" s="40"/>
      <c r="I43" s="40"/>
    </row>
  </sheetData>
  <mergeCells count="6">
    <mergeCell ref="I4:I6"/>
    <mergeCell ref="D4:D6"/>
    <mergeCell ref="E4:E6"/>
    <mergeCell ref="F4:F6"/>
    <mergeCell ref="G4:G6"/>
    <mergeCell ref="H4:H6"/>
  </mergeCells>
  <pageMargins left="0.75000000000000011" right="0.75000000000000011" top="1" bottom="1" header="0.5" footer="0.5"/>
  <pageSetup paperSize="0" scale="72" fitToWidth="0" fitToHeight="0" orientation="landscape"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1"/>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1" s="38" customFormat="1" ht="18">
      <c r="A1" s="38" t="s">
        <v>126</v>
      </c>
      <c r="D1" s="91"/>
      <c r="E1" s="91"/>
      <c r="F1" s="91"/>
      <c r="G1" s="91"/>
      <c r="H1" s="91"/>
      <c r="I1" s="91"/>
    </row>
    <row r="2" spans="1:11" s="38" customFormat="1" ht="18">
      <c r="A2" s="38" t="s">
        <v>56</v>
      </c>
      <c r="D2" s="91"/>
      <c r="E2" s="91"/>
      <c r="F2" s="91"/>
      <c r="G2" s="91"/>
      <c r="H2" s="91"/>
      <c r="I2" s="91"/>
    </row>
    <row r="3" spans="1:11" ht="13.5" customHeight="1" thickBot="1"/>
    <row r="4" spans="1:11" s="44" customFormat="1" ht="14.25" thickTop="1" thickBot="1">
      <c r="A4" s="42"/>
      <c r="B4" s="43"/>
      <c r="C4" s="43"/>
      <c r="D4" s="442" t="s">
        <v>58</v>
      </c>
      <c r="E4" s="442" t="s">
        <v>59</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c r="A7" s="56" t="s">
        <v>66</v>
      </c>
      <c r="B7" s="49" t="s">
        <v>67</v>
      </c>
      <c r="C7" s="49"/>
      <c r="D7" s="93">
        <v>2115.9999999999995</v>
      </c>
      <c r="E7" s="93">
        <v>1115.0000000000005</v>
      </c>
      <c r="F7" s="93">
        <v>179.99999999999994</v>
      </c>
      <c r="G7" s="93">
        <v>46.999999999999993</v>
      </c>
      <c r="H7" s="93">
        <v>615.99999999999989</v>
      </c>
      <c r="I7" s="94">
        <f>SUM(D7:H7)</f>
        <v>4074</v>
      </c>
    </row>
    <row r="8" spans="1:11">
      <c r="A8" s="56"/>
      <c r="B8" s="49" t="s">
        <v>68</v>
      </c>
      <c r="C8" s="49"/>
      <c r="D8" s="93">
        <v>42.000000000000007</v>
      </c>
      <c r="E8" s="93">
        <v>1559.0000000000002</v>
      </c>
      <c r="F8" s="93">
        <v>10.999999999999996</v>
      </c>
      <c r="G8" s="93">
        <v>21.999999999999996</v>
      </c>
      <c r="H8" s="93">
        <v>144</v>
      </c>
      <c r="I8" s="94">
        <f>SUM(D8:H8)</f>
        <v>1778.0000000000002</v>
      </c>
    </row>
    <row r="9" spans="1:11">
      <c r="A9" s="58"/>
      <c r="B9" s="59" t="s">
        <v>65</v>
      </c>
      <c r="C9" s="59"/>
      <c r="D9" s="95">
        <f>SUM(D7:D8)</f>
        <v>2157.9999999999995</v>
      </c>
      <c r="E9" s="95">
        <f>SUM(E7:E8)</f>
        <v>2674.0000000000009</v>
      </c>
      <c r="F9" s="95">
        <f>SUM(F7:F8)</f>
        <v>190.99999999999994</v>
      </c>
      <c r="G9" s="95">
        <f>SUM(G7:G8)</f>
        <v>68.999999999999986</v>
      </c>
      <c r="H9" s="95">
        <f>SUM(H7:H8)</f>
        <v>759.99999999999989</v>
      </c>
      <c r="I9" s="96">
        <f>SUM(D9:H9)</f>
        <v>5852</v>
      </c>
    </row>
    <row r="10" spans="1:11">
      <c r="A10" s="56" t="s">
        <v>103</v>
      </c>
      <c r="B10" s="49" t="s">
        <v>67</v>
      </c>
      <c r="C10" s="49"/>
      <c r="D10" s="93">
        <v>2390.0000000000018</v>
      </c>
      <c r="E10" s="93">
        <v>544.0000000000008</v>
      </c>
      <c r="F10" s="93">
        <v>277.99999999999966</v>
      </c>
      <c r="G10" s="93">
        <v>45.000000000000092</v>
      </c>
      <c r="H10" s="93">
        <v>1175.0000000000009</v>
      </c>
      <c r="I10" s="94">
        <v>4432.0000000000036</v>
      </c>
    </row>
    <row r="11" spans="1:11" ht="14.25">
      <c r="A11" s="56" t="s">
        <v>104</v>
      </c>
      <c r="B11" s="49" t="s">
        <v>128</v>
      </c>
      <c r="C11" s="49"/>
      <c r="D11" s="93">
        <v>0</v>
      </c>
      <c r="E11" s="93">
        <v>0</v>
      </c>
      <c r="F11" s="93">
        <v>0</v>
      </c>
      <c r="G11" s="93">
        <v>0</v>
      </c>
      <c r="H11" s="93">
        <v>0</v>
      </c>
      <c r="I11" s="94">
        <v>0</v>
      </c>
    </row>
    <row r="12" spans="1:11">
      <c r="A12" s="56"/>
      <c r="B12" s="49" t="s">
        <v>129</v>
      </c>
      <c r="C12" s="49"/>
      <c r="D12" s="93">
        <v>47.000000000000057</v>
      </c>
      <c r="E12" s="93">
        <v>3753.9999999999864</v>
      </c>
      <c r="F12" s="93">
        <v>13.000000000000023</v>
      </c>
      <c r="G12" s="93">
        <v>41.000000000000135</v>
      </c>
      <c r="H12" s="93">
        <v>128.00000000000011</v>
      </c>
      <c r="I12" s="94">
        <v>3982.9999999999864</v>
      </c>
    </row>
    <row r="13" spans="1:11">
      <c r="A13" s="56"/>
      <c r="B13" s="49" t="s">
        <v>71</v>
      </c>
      <c r="C13" s="49"/>
      <c r="D13" s="93">
        <v>34.999999999999993</v>
      </c>
      <c r="E13" s="93">
        <v>273</v>
      </c>
      <c r="F13" s="93" t="s">
        <v>79</v>
      </c>
      <c r="G13" s="93" t="s">
        <v>80</v>
      </c>
      <c r="H13" s="93" t="s">
        <v>79</v>
      </c>
      <c r="I13" s="94">
        <v>341</v>
      </c>
    </row>
    <row r="14" spans="1:11">
      <c r="A14" s="56"/>
      <c r="B14" s="49" t="s">
        <v>69</v>
      </c>
      <c r="C14" s="49"/>
      <c r="D14" s="93">
        <v>40</v>
      </c>
      <c r="E14" s="93">
        <v>35</v>
      </c>
      <c r="F14" s="93">
        <v>0</v>
      </c>
      <c r="G14" s="93" t="s">
        <v>80</v>
      </c>
      <c r="H14" s="93" t="s">
        <v>79</v>
      </c>
      <c r="I14" s="94">
        <v>88</v>
      </c>
      <c r="K14" s="97"/>
    </row>
    <row r="15" spans="1:11">
      <c r="A15" s="56"/>
      <c r="B15" s="49" t="s">
        <v>72</v>
      </c>
      <c r="C15" s="49"/>
      <c r="D15" s="93">
        <v>124.99999999999997</v>
      </c>
      <c r="E15" s="93">
        <v>177.99999999999977</v>
      </c>
      <c r="F15" s="93" t="s">
        <v>79</v>
      </c>
      <c r="G15" s="93" t="s">
        <v>80</v>
      </c>
      <c r="H15" s="93">
        <v>106.00000000000017</v>
      </c>
      <c r="I15" s="94">
        <v>450.99999999999994</v>
      </c>
    </row>
    <row r="16" spans="1:11">
      <c r="A16" s="58"/>
      <c r="B16" s="59" t="s">
        <v>65</v>
      </c>
      <c r="C16" s="59"/>
      <c r="D16" s="95">
        <v>2637.0000000000018</v>
      </c>
      <c r="E16" s="95">
        <v>4783.9999999999873</v>
      </c>
      <c r="F16" s="95">
        <v>337.99999999999966</v>
      </c>
      <c r="G16" s="95">
        <v>94.000000000000227</v>
      </c>
      <c r="H16" s="95">
        <v>1442.0000000000011</v>
      </c>
      <c r="I16" s="96">
        <v>9294.9999999999891</v>
      </c>
      <c r="J16" s="62"/>
    </row>
    <row r="17" spans="1:9">
      <c r="A17" s="56" t="s">
        <v>105</v>
      </c>
      <c r="B17" s="49" t="s">
        <v>67</v>
      </c>
      <c r="C17" s="49"/>
      <c r="D17" s="93">
        <v>51716.000000000167</v>
      </c>
      <c r="E17" s="93">
        <v>4604.0000000000127</v>
      </c>
      <c r="F17" s="93">
        <v>3862.00000000001</v>
      </c>
      <c r="G17" s="93">
        <v>691.00000000000614</v>
      </c>
      <c r="H17" s="93">
        <v>13504.000000000053</v>
      </c>
      <c r="I17" s="94">
        <v>74377.000000000247</v>
      </c>
    </row>
    <row r="18" spans="1:9">
      <c r="A18" s="56" t="s">
        <v>106</v>
      </c>
      <c r="B18" s="49" t="s">
        <v>68</v>
      </c>
      <c r="C18" s="49"/>
      <c r="D18" s="98">
        <v>592.99999999999829</v>
      </c>
      <c r="E18" s="98">
        <v>71863.999999999898</v>
      </c>
      <c r="F18" s="98">
        <v>371.99999999999932</v>
      </c>
      <c r="G18" s="98">
        <v>436.99999999999329</v>
      </c>
      <c r="H18" s="99">
        <v>985.99999999999454</v>
      </c>
      <c r="I18" s="100">
        <v>74251.999999999898</v>
      </c>
    </row>
    <row r="19" spans="1:9">
      <c r="A19" s="56"/>
      <c r="B19" s="49" t="s">
        <v>71</v>
      </c>
      <c r="C19" s="49"/>
      <c r="D19" s="93">
        <v>281.99999999999977</v>
      </c>
      <c r="E19" s="93">
        <v>2233.0000000000036</v>
      </c>
      <c r="F19" s="93">
        <v>40.00000000000005</v>
      </c>
      <c r="G19" s="93">
        <v>7.0000000000000169</v>
      </c>
      <c r="H19" s="93">
        <v>161.99999999999994</v>
      </c>
      <c r="I19" s="94">
        <v>2724.0000000000036</v>
      </c>
    </row>
    <row r="20" spans="1:9">
      <c r="A20" s="56"/>
      <c r="B20" s="49" t="s">
        <v>69</v>
      </c>
      <c r="C20" s="49"/>
      <c r="D20" s="93">
        <v>1502.0000000000034</v>
      </c>
      <c r="E20" s="93">
        <v>1049.9999999999966</v>
      </c>
      <c r="F20" s="93">
        <v>215.9999999999998</v>
      </c>
      <c r="G20" s="93">
        <v>48.999999999999993</v>
      </c>
      <c r="H20" s="93">
        <v>738.00000000000102</v>
      </c>
      <c r="I20" s="94">
        <v>3555.0000000000009</v>
      </c>
    </row>
    <row r="21" spans="1:9">
      <c r="A21" s="56"/>
      <c r="B21" s="49" t="s">
        <v>72</v>
      </c>
      <c r="C21" s="49"/>
      <c r="D21" s="93">
        <v>1804.9999999999998</v>
      </c>
      <c r="E21" s="93">
        <v>2355.9999999999991</v>
      </c>
      <c r="F21" s="93">
        <v>398.00000000000171</v>
      </c>
      <c r="G21" s="93">
        <v>73.999999999999915</v>
      </c>
      <c r="H21" s="93">
        <v>912.00000000000125</v>
      </c>
      <c r="I21" s="94">
        <v>5545.0000000000018</v>
      </c>
    </row>
    <row r="22" spans="1:9">
      <c r="A22" s="58"/>
      <c r="B22" s="59" t="s">
        <v>65</v>
      </c>
      <c r="C22" s="59"/>
      <c r="D22" s="95">
        <v>55898.000000000167</v>
      </c>
      <c r="E22" s="95">
        <v>82106.999999999913</v>
      </c>
      <c r="F22" s="95">
        <v>4888.0000000000109</v>
      </c>
      <c r="G22" s="95">
        <v>1257.9999999999995</v>
      </c>
      <c r="H22" s="95">
        <v>16302.000000000051</v>
      </c>
      <c r="I22" s="96">
        <v>160453.00000000015</v>
      </c>
    </row>
    <row r="23" spans="1:9">
      <c r="A23" s="56" t="s">
        <v>107</v>
      </c>
      <c r="B23" s="49" t="s">
        <v>67</v>
      </c>
      <c r="C23" s="49"/>
      <c r="D23" s="93">
        <v>144.99999999999997</v>
      </c>
      <c r="E23" s="93">
        <v>8.0000000000000036</v>
      </c>
      <c r="F23" s="93">
        <v>10</v>
      </c>
      <c r="G23" s="93">
        <v>0</v>
      </c>
      <c r="H23" s="93">
        <v>49</v>
      </c>
      <c r="I23" s="94">
        <v>211.99999999999997</v>
      </c>
    </row>
    <row r="24" spans="1:9">
      <c r="A24" s="56" t="s">
        <v>106</v>
      </c>
      <c r="B24" s="49" t="s">
        <v>81</v>
      </c>
      <c r="C24" s="49" t="s">
        <v>124</v>
      </c>
      <c r="D24" s="101">
        <v>0</v>
      </c>
      <c r="E24" s="102">
        <v>0</v>
      </c>
      <c r="F24" s="103">
        <v>0</v>
      </c>
      <c r="G24" s="102">
        <v>0</v>
      </c>
      <c r="H24" s="104">
        <v>0</v>
      </c>
      <c r="I24" s="105">
        <v>0</v>
      </c>
    </row>
    <row r="25" spans="1:9">
      <c r="A25" s="56"/>
      <c r="B25" s="49"/>
      <c r="C25" s="49" t="s">
        <v>125</v>
      </c>
      <c r="D25" s="93">
        <v>778.99999999999886</v>
      </c>
      <c r="E25" s="93">
        <v>211.0000000000004</v>
      </c>
      <c r="F25" s="93">
        <v>201.00000000000009</v>
      </c>
      <c r="G25" s="93">
        <v>30.000000000000036</v>
      </c>
      <c r="H25" s="93">
        <v>366.99999999999989</v>
      </c>
      <c r="I25" s="94">
        <v>1587.9999999999991</v>
      </c>
    </row>
    <row r="26" spans="1:9">
      <c r="A26" s="58"/>
      <c r="B26" s="59" t="s">
        <v>65</v>
      </c>
      <c r="C26" s="59"/>
      <c r="D26" s="95">
        <v>923.99999999999886</v>
      </c>
      <c r="E26" s="95">
        <v>219.0000000000004</v>
      </c>
      <c r="F26" s="95">
        <v>211.00000000000009</v>
      </c>
      <c r="G26" s="95">
        <v>30.000000000000036</v>
      </c>
      <c r="H26" s="95">
        <v>415.99999999999989</v>
      </c>
      <c r="I26" s="96">
        <v>1799.9999999999991</v>
      </c>
    </row>
    <row r="27" spans="1:9">
      <c r="A27" s="56" t="s">
        <v>108</v>
      </c>
      <c r="B27" s="49" t="s">
        <v>67</v>
      </c>
      <c r="C27" s="49"/>
      <c r="D27" s="93">
        <v>23405.000000000069</v>
      </c>
      <c r="E27" s="93">
        <v>816.99999999999932</v>
      </c>
      <c r="F27" s="93">
        <v>1068.9999999999955</v>
      </c>
      <c r="G27" s="93">
        <v>149.99999999999832</v>
      </c>
      <c r="H27" s="93">
        <v>3257.9999999999959</v>
      </c>
      <c r="I27" s="94">
        <v>28699.000000000062</v>
      </c>
    </row>
    <row r="28" spans="1:9">
      <c r="A28" s="56" t="s">
        <v>109</v>
      </c>
      <c r="B28" s="49" t="s">
        <v>129</v>
      </c>
      <c r="C28" s="49"/>
      <c r="D28" s="93">
        <v>409.99999999999733</v>
      </c>
      <c r="E28" s="93">
        <v>38959.000000000051</v>
      </c>
      <c r="F28" s="93">
        <v>168.99999999999949</v>
      </c>
      <c r="G28" s="93">
        <v>99.000000000000185</v>
      </c>
      <c r="H28" s="93">
        <v>332.99999999999972</v>
      </c>
      <c r="I28" s="94">
        <v>39970.000000000051</v>
      </c>
    </row>
    <row r="29" spans="1:9">
      <c r="A29" s="56" t="s">
        <v>110</v>
      </c>
      <c r="B29" s="49" t="s">
        <v>71</v>
      </c>
      <c r="C29" s="49"/>
      <c r="D29" s="93">
        <v>0</v>
      </c>
      <c r="E29" s="93">
        <v>525.00000000000023</v>
      </c>
      <c r="F29" s="93" t="s">
        <v>80</v>
      </c>
      <c r="G29" s="93">
        <v>0</v>
      </c>
      <c r="H29" s="93" t="s">
        <v>79</v>
      </c>
      <c r="I29" s="94">
        <v>564.00000000000023</v>
      </c>
    </row>
    <row r="30" spans="1:9">
      <c r="A30" s="56"/>
      <c r="B30" s="49" t="s">
        <v>69</v>
      </c>
      <c r="C30" s="49"/>
      <c r="D30" s="93">
        <v>1681.0000000000009</v>
      </c>
      <c r="E30" s="93">
        <v>416.00000000000063</v>
      </c>
      <c r="F30" s="93" t="s">
        <v>79</v>
      </c>
      <c r="G30" s="93">
        <v>26.000000000000071</v>
      </c>
      <c r="H30" s="93" t="s">
        <v>79</v>
      </c>
      <c r="I30" s="94">
        <v>2557.0000000000014</v>
      </c>
    </row>
    <row r="31" spans="1:9">
      <c r="A31" s="56"/>
      <c r="B31" s="49" t="s">
        <v>72</v>
      </c>
      <c r="C31" s="49"/>
      <c r="D31" s="93">
        <v>4047.9999999999986</v>
      </c>
      <c r="E31" s="93">
        <v>3910</v>
      </c>
      <c r="F31" s="93">
        <v>465.99999999999903</v>
      </c>
      <c r="G31" s="93">
        <v>87.000000000000313</v>
      </c>
      <c r="H31" s="93">
        <v>1038.0000000000048</v>
      </c>
      <c r="I31" s="94">
        <v>9549.0000000000018</v>
      </c>
    </row>
    <row r="32" spans="1:9">
      <c r="A32" s="58"/>
      <c r="B32" s="59" t="s">
        <v>65</v>
      </c>
      <c r="C32" s="59"/>
      <c r="D32" s="95">
        <v>29544.000000000065</v>
      </c>
      <c r="E32" s="95">
        <v>44627.000000000051</v>
      </c>
      <c r="F32" s="95">
        <v>1794.9999999999941</v>
      </c>
      <c r="G32" s="95">
        <v>361.99999999999886</v>
      </c>
      <c r="H32" s="95">
        <v>5011</v>
      </c>
      <c r="I32" s="96">
        <v>81339.000000000116</v>
      </c>
    </row>
    <row r="33" spans="1:9">
      <c r="A33" s="56" t="s">
        <v>111</v>
      </c>
      <c r="B33" s="49" t="s">
        <v>67</v>
      </c>
      <c r="C33" s="49"/>
      <c r="D33" s="93">
        <v>11569.000000000015</v>
      </c>
      <c r="E33" s="93">
        <v>1255.9999999999982</v>
      </c>
      <c r="F33" s="93">
        <v>732.00000000000034</v>
      </c>
      <c r="G33" s="93">
        <v>81.000000000000085</v>
      </c>
      <c r="H33" s="93">
        <v>1506.0000000000023</v>
      </c>
      <c r="I33" s="94">
        <v>15144.000000000015</v>
      </c>
    </row>
    <row r="34" spans="1:9">
      <c r="A34" s="56" t="s">
        <v>112</v>
      </c>
      <c r="B34" s="49" t="s">
        <v>81</v>
      </c>
      <c r="C34" s="49" t="s">
        <v>124</v>
      </c>
      <c r="D34" s="93">
        <v>256.99999999999756</v>
      </c>
      <c r="E34" s="93">
        <v>26587.999999999854</v>
      </c>
      <c r="F34" s="93">
        <v>140.99999999999926</v>
      </c>
      <c r="G34" s="93">
        <v>73.000000000000099</v>
      </c>
      <c r="H34" s="93">
        <v>203.00000000000043</v>
      </c>
      <c r="I34" s="94">
        <v>27261.999999999851</v>
      </c>
    </row>
    <row r="35" spans="1:9">
      <c r="A35" s="56"/>
      <c r="B35" s="49"/>
      <c r="C35" s="49" t="s">
        <v>125</v>
      </c>
      <c r="D35" s="93">
        <v>13308.000000000018</v>
      </c>
      <c r="E35" s="93">
        <v>2396.9999999999986</v>
      </c>
      <c r="F35" s="93">
        <v>1273.0000000000025</v>
      </c>
      <c r="G35" s="93">
        <v>231.99999999999909</v>
      </c>
      <c r="H35" s="93">
        <v>3017.9999999999955</v>
      </c>
      <c r="I35" s="94">
        <v>20228.000000000015</v>
      </c>
    </row>
    <row r="36" spans="1:9">
      <c r="A36" s="58"/>
      <c r="B36" s="59" t="s">
        <v>65</v>
      </c>
      <c r="C36" s="59"/>
      <c r="D36" s="95">
        <v>25134.000000000029</v>
      </c>
      <c r="E36" s="95">
        <v>30240.999999999854</v>
      </c>
      <c r="F36" s="95">
        <v>2146.0000000000018</v>
      </c>
      <c r="G36" s="95">
        <v>385.99999999999926</v>
      </c>
      <c r="H36" s="95">
        <v>4726.9999999999982</v>
      </c>
      <c r="I36" s="96">
        <v>62633.999999999884</v>
      </c>
    </row>
    <row r="37" spans="1:9">
      <c r="A37" s="56" t="s">
        <v>86</v>
      </c>
      <c r="B37" s="49" t="s">
        <v>67</v>
      </c>
      <c r="C37" s="49"/>
      <c r="D37" s="93">
        <v>1773.9999999999984</v>
      </c>
      <c r="E37" s="93">
        <v>1866.0000000000002</v>
      </c>
      <c r="F37" s="93">
        <v>110.00000000000001</v>
      </c>
      <c r="G37" s="93" t="s">
        <v>79</v>
      </c>
      <c r="H37" s="93" t="s">
        <v>79</v>
      </c>
      <c r="I37" s="94">
        <v>4545.9999999999982</v>
      </c>
    </row>
    <row r="38" spans="1:9">
      <c r="A38" s="56"/>
      <c r="B38" s="49" t="s">
        <v>129</v>
      </c>
      <c r="C38" s="49"/>
      <c r="D38" s="93" t="s">
        <v>80</v>
      </c>
      <c r="E38" s="93" t="s">
        <v>79</v>
      </c>
      <c r="F38" s="93">
        <v>0</v>
      </c>
      <c r="G38" s="93" t="s">
        <v>80</v>
      </c>
      <c r="H38" s="93" t="s">
        <v>80</v>
      </c>
      <c r="I38" s="94">
        <v>222.99999999999994</v>
      </c>
    </row>
    <row r="39" spans="1:9">
      <c r="A39" s="56"/>
      <c r="B39" s="49" t="s">
        <v>71</v>
      </c>
      <c r="C39" s="49"/>
      <c r="D39" s="93" t="s">
        <v>79</v>
      </c>
      <c r="E39" s="93" t="s">
        <v>79</v>
      </c>
      <c r="F39" s="93">
        <v>0</v>
      </c>
      <c r="G39" s="93" t="s">
        <v>80</v>
      </c>
      <c r="H39" s="93" t="s">
        <v>79</v>
      </c>
      <c r="I39" s="94">
        <v>63</v>
      </c>
    </row>
    <row r="40" spans="1:9">
      <c r="A40" s="58"/>
      <c r="B40" s="59" t="s">
        <v>65</v>
      </c>
      <c r="C40" s="59"/>
      <c r="D40" s="95">
        <v>1805.9999999999984</v>
      </c>
      <c r="E40" s="95">
        <v>2106</v>
      </c>
      <c r="F40" s="95">
        <v>110.00000000000001</v>
      </c>
      <c r="G40" s="95">
        <v>28.000000000000043</v>
      </c>
      <c r="H40" s="95">
        <v>781.99999999999955</v>
      </c>
      <c r="I40" s="96">
        <v>4831.9999999999982</v>
      </c>
    </row>
    <row r="41" spans="1:9" ht="28.5" customHeight="1" thickBot="1">
      <c r="A41" s="71" t="s">
        <v>122</v>
      </c>
      <c r="B41" s="72"/>
      <c r="C41" s="106"/>
      <c r="D41" s="107">
        <v>118101.00000000026</v>
      </c>
      <c r="E41" s="107">
        <v>166757.9999999998</v>
      </c>
      <c r="F41" s="107">
        <v>9679.0000000000073</v>
      </c>
      <c r="G41" s="107">
        <v>2226.9999999999977</v>
      </c>
      <c r="H41" s="107">
        <v>29440.000000000051</v>
      </c>
      <c r="I41" s="108">
        <v>326205.00000000012</v>
      </c>
    </row>
    <row r="42" spans="1:9" ht="13.5" thickTop="1">
      <c r="A42" s="49"/>
      <c r="C42" s="49"/>
      <c r="D42" s="97"/>
      <c r="E42" s="97"/>
      <c r="F42" s="97"/>
      <c r="G42" s="97"/>
      <c r="H42" s="97"/>
      <c r="I42" s="97"/>
    </row>
    <row r="43" spans="1:9">
      <c r="A43" s="40" t="s">
        <v>90</v>
      </c>
      <c r="D43" s="40"/>
      <c r="E43" s="40"/>
      <c r="F43" s="40"/>
      <c r="G43" s="40"/>
      <c r="H43" s="40"/>
      <c r="I43" s="40"/>
    </row>
    <row r="44" spans="1:9" ht="14.25">
      <c r="A44" s="75" t="s">
        <v>120</v>
      </c>
      <c r="D44" s="40"/>
      <c r="E44" s="40"/>
      <c r="F44" s="40"/>
      <c r="G44" s="40"/>
      <c r="H44" s="40"/>
      <c r="I44" s="40"/>
    </row>
    <row r="45" spans="1:9" ht="14.25">
      <c r="A45" s="75" t="s">
        <v>130</v>
      </c>
      <c r="D45" s="40"/>
      <c r="E45" s="40"/>
      <c r="F45" s="40"/>
      <c r="G45" s="40"/>
      <c r="H45" s="40"/>
      <c r="I45" s="40"/>
    </row>
    <row r="46" spans="1:9">
      <c r="D46" s="40"/>
      <c r="E46" s="40"/>
      <c r="F46" s="40"/>
      <c r="G46" s="40"/>
      <c r="H46" s="40"/>
      <c r="I46" s="40"/>
    </row>
    <row r="47" spans="1:9">
      <c r="D47" s="40"/>
      <c r="E47" s="40"/>
      <c r="F47" s="40"/>
      <c r="G47" s="40"/>
      <c r="H47" s="40"/>
      <c r="I47" s="40"/>
    </row>
    <row r="48" spans="1:9">
      <c r="D48" s="40"/>
      <c r="E48" s="40"/>
      <c r="F48" s="40"/>
      <c r="G48" s="40"/>
      <c r="H48" s="40"/>
      <c r="I48" s="40"/>
    </row>
    <row r="49" s="40" customFormat="1"/>
    <row r="50" s="40" customFormat="1"/>
    <row r="51" s="40" customFormat="1"/>
  </sheetData>
  <mergeCells count="6">
    <mergeCell ref="I4:I6"/>
    <mergeCell ref="D4:D6"/>
    <mergeCell ref="E4:E6"/>
    <mergeCell ref="F4:F6"/>
    <mergeCell ref="G4:G6"/>
    <mergeCell ref="H4:H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1"/>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1" s="38" customFormat="1" ht="18">
      <c r="A1" s="38" t="s">
        <v>131</v>
      </c>
      <c r="D1" s="91"/>
      <c r="E1" s="91"/>
      <c r="F1" s="91"/>
      <c r="G1" s="91"/>
      <c r="H1" s="91"/>
      <c r="I1" s="91"/>
    </row>
    <row r="2" spans="1:11" s="38" customFormat="1" ht="18">
      <c r="A2" s="38" t="s">
        <v>56</v>
      </c>
      <c r="D2" s="91"/>
      <c r="E2" s="91"/>
      <c r="F2" s="91"/>
      <c r="G2" s="91"/>
      <c r="H2" s="91"/>
      <c r="I2" s="91"/>
    </row>
    <row r="3" spans="1:11" ht="13.5" customHeight="1" thickBot="1"/>
    <row r="4" spans="1:11" s="44" customFormat="1" ht="14.25" thickTop="1" thickBot="1">
      <c r="A4" s="42"/>
      <c r="B4" s="43"/>
      <c r="C4" s="43"/>
      <c r="D4" s="442" t="s">
        <v>58</v>
      </c>
      <c r="E4" s="442" t="s">
        <v>59</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c r="A7" s="56" t="s">
        <v>66</v>
      </c>
      <c r="B7" s="49" t="s">
        <v>67</v>
      </c>
      <c r="C7" s="49"/>
      <c r="D7" s="93">
        <v>2068</v>
      </c>
      <c r="E7" s="93">
        <v>1003</v>
      </c>
      <c r="F7" s="93">
        <v>288</v>
      </c>
      <c r="G7" s="93">
        <v>27</v>
      </c>
      <c r="H7" s="93">
        <v>748</v>
      </c>
      <c r="I7" s="94">
        <v>4134</v>
      </c>
    </row>
    <row r="8" spans="1:11">
      <c r="A8" s="56"/>
      <c r="B8" s="49" t="s">
        <v>68</v>
      </c>
      <c r="C8" s="49"/>
      <c r="D8" s="93">
        <v>43</v>
      </c>
      <c r="E8" s="93">
        <v>1477</v>
      </c>
      <c r="F8" s="93">
        <v>111</v>
      </c>
      <c r="G8" s="93">
        <v>13</v>
      </c>
      <c r="H8" s="93">
        <v>132</v>
      </c>
      <c r="I8" s="94">
        <v>1776</v>
      </c>
    </row>
    <row r="9" spans="1:11">
      <c r="A9" s="58"/>
      <c r="B9" s="59" t="s">
        <v>65</v>
      </c>
      <c r="C9" s="59"/>
      <c r="D9" s="95">
        <v>2111</v>
      </c>
      <c r="E9" s="95">
        <v>2480</v>
      </c>
      <c r="F9" s="95">
        <v>399</v>
      </c>
      <c r="G9" s="95">
        <v>40</v>
      </c>
      <c r="H9" s="95">
        <v>880</v>
      </c>
      <c r="I9" s="96">
        <v>5910</v>
      </c>
    </row>
    <row r="10" spans="1:11">
      <c r="A10" s="56" t="s">
        <v>103</v>
      </c>
      <c r="B10" s="49" t="s">
        <v>67</v>
      </c>
      <c r="C10" s="49"/>
      <c r="D10" s="93">
        <v>2477</v>
      </c>
      <c r="E10" s="93">
        <v>526</v>
      </c>
      <c r="F10" s="93">
        <v>192</v>
      </c>
      <c r="G10" s="93">
        <v>47</v>
      </c>
      <c r="H10" s="93">
        <v>1166</v>
      </c>
      <c r="I10" s="94">
        <v>4408</v>
      </c>
    </row>
    <row r="11" spans="1:11" ht="14.25">
      <c r="A11" s="56" t="s">
        <v>104</v>
      </c>
      <c r="B11" s="49" t="s">
        <v>128</v>
      </c>
      <c r="C11" s="49"/>
      <c r="D11" s="93">
        <v>0</v>
      </c>
      <c r="E11" s="93">
        <v>0</v>
      </c>
      <c r="F11" s="93">
        <v>0</v>
      </c>
      <c r="G11" s="93">
        <v>0</v>
      </c>
      <c r="H11" s="93">
        <v>0</v>
      </c>
      <c r="I11" s="94">
        <v>0</v>
      </c>
    </row>
    <row r="12" spans="1:11">
      <c r="A12" s="56"/>
      <c r="B12" s="49" t="s">
        <v>129</v>
      </c>
      <c r="C12" s="49"/>
      <c r="D12" s="93">
        <v>72</v>
      </c>
      <c r="E12" s="93">
        <v>3651</v>
      </c>
      <c r="F12" s="93">
        <v>23</v>
      </c>
      <c r="G12" s="93">
        <v>43</v>
      </c>
      <c r="H12" s="93">
        <v>103</v>
      </c>
      <c r="I12" s="94">
        <v>3892</v>
      </c>
    </row>
    <row r="13" spans="1:11">
      <c r="A13" s="56"/>
      <c r="B13" s="49" t="s">
        <v>71</v>
      </c>
      <c r="C13" s="49"/>
      <c r="D13" s="93">
        <v>25</v>
      </c>
      <c r="E13" s="93">
        <v>266</v>
      </c>
      <c r="F13" s="93">
        <v>0</v>
      </c>
      <c r="G13" s="93" t="s">
        <v>80</v>
      </c>
      <c r="H13" s="93" t="s">
        <v>79</v>
      </c>
      <c r="I13" s="94">
        <v>311</v>
      </c>
    </row>
    <row r="14" spans="1:11">
      <c r="A14" s="56"/>
      <c r="B14" s="49" t="s">
        <v>69</v>
      </c>
      <c r="C14" s="49"/>
      <c r="D14" s="93">
        <v>22</v>
      </c>
      <c r="E14" s="93">
        <v>37</v>
      </c>
      <c r="F14" s="93" t="s">
        <v>80</v>
      </c>
      <c r="G14" s="93" t="s">
        <v>80</v>
      </c>
      <c r="H14" s="93" t="s">
        <v>79</v>
      </c>
      <c r="I14" s="94">
        <v>89</v>
      </c>
      <c r="K14" s="97"/>
    </row>
    <row r="15" spans="1:11">
      <c r="A15" s="56"/>
      <c r="B15" s="49" t="s">
        <v>72</v>
      </c>
      <c r="C15" s="49"/>
      <c r="D15" s="93">
        <v>114</v>
      </c>
      <c r="E15" s="93">
        <v>177</v>
      </c>
      <c r="F15" s="93" t="s">
        <v>79</v>
      </c>
      <c r="G15" s="93" t="s">
        <v>79</v>
      </c>
      <c r="H15" s="93">
        <v>91</v>
      </c>
      <c r="I15" s="94">
        <v>420</v>
      </c>
    </row>
    <row r="16" spans="1:11">
      <c r="A16" s="58"/>
      <c r="B16" s="59" t="s">
        <v>65</v>
      </c>
      <c r="C16" s="59"/>
      <c r="D16" s="95">
        <v>2710</v>
      </c>
      <c r="E16" s="95">
        <v>4657</v>
      </c>
      <c r="F16" s="95">
        <v>248</v>
      </c>
      <c r="G16" s="95">
        <v>98</v>
      </c>
      <c r="H16" s="95">
        <v>1407</v>
      </c>
      <c r="I16" s="96">
        <v>9120</v>
      </c>
      <c r="J16" s="62"/>
    </row>
    <row r="17" spans="1:9">
      <c r="A17" s="56" t="s">
        <v>105</v>
      </c>
      <c r="B17" s="49" t="s">
        <v>67</v>
      </c>
      <c r="C17" s="49"/>
      <c r="D17" s="93">
        <v>51641</v>
      </c>
      <c r="E17" s="93">
        <v>4257</v>
      </c>
      <c r="F17" s="93">
        <v>3487</v>
      </c>
      <c r="G17" s="93">
        <v>663</v>
      </c>
      <c r="H17" s="93">
        <v>12711</v>
      </c>
      <c r="I17" s="94">
        <v>72759</v>
      </c>
    </row>
    <row r="18" spans="1:9">
      <c r="A18" s="56" t="s">
        <v>106</v>
      </c>
      <c r="B18" s="49" t="s">
        <v>129</v>
      </c>
      <c r="C18" s="49"/>
      <c r="D18" s="98"/>
      <c r="E18" s="98"/>
      <c r="F18" s="98"/>
      <c r="G18" s="98"/>
      <c r="H18" s="99"/>
      <c r="I18" s="100"/>
    </row>
    <row r="19" spans="1:9">
      <c r="A19" s="56"/>
      <c r="B19" s="49" t="s">
        <v>71</v>
      </c>
      <c r="C19" s="49"/>
      <c r="D19" s="93">
        <v>819</v>
      </c>
      <c r="E19" s="93">
        <v>72855</v>
      </c>
      <c r="F19" s="93">
        <v>367</v>
      </c>
      <c r="G19" s="93">
        <v>369</v>
      </c>
      <c r="H19" s="93">
        <v>1032</v>
      </c>
      <c r="I19" s="94">
        <v>75442</v>
      </c>
    </row>
    <row r="20" spans="1:9">
      <c r="A20" s="56"/>
      <c r="B20" s="49" t="s">
        <v>69</v>
      </c>
      <c r="C20" s="49"/>
      <c r="D20" s="93">
        <v>1518</v>
      </c>
      <c r="E20" s="93">
        <v>958</v>
      </c>
      <c r="F20" s="93">
        <v>217</v>
      </c>
      <c r="G20" s="93">
        <v>42</v>
      </c>
      <c r="H20" s="93">
        <v>679</v>
      </c>
      <c r="I20" s="94">
        <v>3414</v>
      </c>
    </row>
    <row r="21" spans="1:9">
      <c r="A21" s="56"/>
      <c r="B21" s="49" t="s">
        <v>72</v>
      </c>
      <c r="C21" s="49"/>
      <c r="D21" s="93">
        <v>1807</v>
      </c>
      <c r="E21" s="93">
        <v>2348</v>
      </c>
      <c r="F21" s="93">
        <v>331</v>
      </c>
      <c r="G21" s="93">
        <v>66</v>
      </c>
      <c r="H21" s="93">
        <v>915</v>
      </c>
      <c r="I21" s="94">
        <v>5467</v>
      </c>
    </row>
    <row r="22" spans="1:9">
      <c r="A22" s="58"/>
      <c r="B22" s="59" t="s">
        <v>65</v>
      </c>
      <c r="C22" s="59"/>
      <c r="D22" s="95">
        <v>55785</v>
      </c>
      <c r="E22" s="95">
        <v>80418</v>
      </c>
      <c r="F22" s="95">
        <v>4402</v>
      </c>
      <c r="G22" s="95">
        <v>1140</v>
      </c>
      <c r="H22" s="95">
        <v>15337</v>
      </c>
      <c r="I22" s="96">
        <v>157082</v>
      </c>
    </row>
    <row r="23" spans="1:9">
      <c r="A23" s="56" t="s">
        <v>107</v>
      </c>
      <c r="B23" s="49" t="s">
        <v>67</v>
      </c>
      <c r="C23" s="49"/>
      <c r="D23" s="93">
        <v>154</v>
      </c>
      <c r="E23" s="93">
        <v>16</v>
      </c>
      <c r="F23" s="93">
        <v>12</v>
      </c>
      <c r="G23" s="93">
        <v>0</v>
      </c>
      <c r="H23" s="93">
        <v>53</v>
      </c>
      <c r="I23" s="94">
        <v>235</v>
      </c>
    </row>
    <row r="24" spans="1:9">
      <c r="A24" s="56" t="s">
        <v>106</v>
      </c>
      <c r="B24" s="49" t="s">
        <v>81</v>
      </c>
      <c r="C24" s="49" t="s">
        <v>124</v>
      </c>
      <c r="D24" s="101">
        <v>0</v>
      </c>
      <c r="E24" s="102">
        <v>0</v>
      </c>
      <c r="F24" s="103">
        <v>0</v>
      </c>
      <c r="G24" s="102">
        <v>0</v>
      </c>
      <c r="H24" s="104">
        <v>0</v>
      </c>
      <c r="I24" s="105">
        <v>0</v>
      </c>
    </row>
    <row r="25" spans="1:9">
      <c r="A25" s="56"/>
      <c r="B25" s="49"/>
      <c r="C25" s="49" t="s">
        <v>125</v>
      </c>
      <c r="D25" s="93">
        <v>714</v>
      </c>
      <c r="E25" s="93">
        <v>175</v>
      </c>
      <c r="F25" s="93">
        <v>194</v>
      </c>
      <c r="G25" s="93">
        <v>29</v>
      </c>
      <c r="H25" s="93">
        <v>485</v>
      </c>
      <c r="I25" s="94">
        <v>1597</v>
      </c>
    </row>
    <row r="26" spans="1:9">
      <c r="A26" s="58"/>
      <c r="B26" s="59" t="s">
        <v>65</v>
      </c>
      <c r="C26" s="59"/>
      <c r="D26" s="95">
        <v>868</v>
      </c>
      <c r="E26" s="95">
        <v>191</v>
      </c>
      <c r="F26" s="95">
        <v>206</v>
      </c>
      <c r="G26" s="95">
        <v>29</v>
      </c>
      <c r="H26" s="95">
        <v>538</v>
      </c>
      <c r="I26" s="96">
        <v>1832</v>
      </c>
    </row>
    <row r="27" spans="1:9">
      <c r="A27" s="56" t="s">
        <v>108</v>
      </c>
      <c r="B27" s="49" t="s">
        <v>67</v>
      </c>
      <c r="C27" s="49"/>
      <c r="D27" s="93">
        <v>24386</v>
      </c>
      <c r="E27" s="93">
        <v>719</v>
      </c>
      <c r="F27" s="93">
        <v>1040</v>
      </c>
      <c r="G27" s="93">
        <v>124</v>
      </c>
      <c r="H27" s="93">
        <v>3494</v>
      </c>
      <c r="I27" s="94">
        <v>29763</v>
      </c>
    </row>
    <row r="28" spans="1:9">
      <c r="A28" s="56" t="s">
        <v>109</v>
      </c>
      <c r="B28" s="49" t="s">
        <v>129</v>
      </c>
      <c r="C28" s="49"/>
      <c r="D28" s="93"/>
      <c r="E28" s="93"/>
      <c r="F28" s="93"/>
      <c r="G28" s="93"/>
      <c r="H28" s="93"/>
      <c r="I28" s="94"/>
    </row>
    <row r="29" spans="1:9">
      <c r="A29" s="56" t="s">
        <v>110</v>
      </c>
      <c r="B29" s="49" t="s">
        <v>71</v>
      </c>
      <c r="C29" s="49"/>
      <c r="D29" s="93">
        <v>380</v>
      </c>
      <c r="E29" s="93">
        <v>40232</v>
      </c>
      <c r="F29" s="93">
        <v>140</v>
      </c>
      <c r="G29" s="93">
        <v>73</v>
      </c>
      <c r="H29" s="93">
        <v>358</v>
      </c>
      <c r="I29" s="94">
        <v>41183</v>
      </c>
    </row>
    <row r="30" spans="1:9">
      <c r="A30" s="56"/>
      <c r="B30" s="49" t="s">
        <v>69</v>
      </c>
      <c r="C30" s="49"/>
      <c r="D30" s="93">
        <v>1746</v>
      </c>
      <c r="E30" s="93">
        <v>407</v>
      </c>
      <c r="F30" s="93">
        <v>82</v>
      </c>
      <c r="G30" s="93">
        <v>21</v>
      </c>
      <c r="H30" s="93">
        <v>356</v>
      </c>
      <c r="I30" s="94">
        <v>2612</v>
      </c>
    </row>
    <row r="31" spans="1:9">
      <c r="A31" s="56"/>
      <c r="B31" s="49" t="s">
        <v>72</v>
      </c>
      <c r="C31" s="49"/>
      <c r="D31" s="93">
        <v>4029</v>
      </c>
      <c r="E31" s="93">
        <v>3951</v>
      </c>
      <c r="F31" s="93">
        <v>436</v>
      </c>
      <c r="G31" s="93">
        <v>83</v>
      </c>
      <c r="H31" s="93">
        <v>1002</v>
      </c>
      <c r="I31" s="94">
        <v>9501</v>
      </c>
    </row>
    <row r="32" spans="1:9">
      <c r="A32" s="58"/>
      <c r="B32" s="59" t="s">
        <v>65</v>
      </c>
      <c r="C32" s="59"/>
      <c r="D32" s="95">
        <v>30541</v>
      </c>
      <c r="E32" s="95">
        <v>45309</v>
      </c>
      <c r="F32" s="95">
        <v>1698</v>
      </c>
      <c r="G32" s="95">
        <v>301</v>
      </c>
      <c r="H32" s="95">
        <v>5210</v>
      </c>
      <c r="I32" s="96">
        <v>83059</v>
      </c>
    </row>
    <row r="33" spans="1:9">
      <c r="A33" s="56" t="s">
        <v>111</v>
      </c>
      <c r="B33" s="49" t="s">
        <v>67</v>
      </c>
      <c r="C33" s="49"/>
      <c r="D33" s="93">
        <v>11660</v>
      </c>
      <c r="E33" s="93">
        <v>1229</v>
      </c>
      <c r="F33" s="93">
        <v>743</v>
      </c>
      <c r="G33" s="93">
        <v>75</v>
      </c>
      <c r="H33" s="93">
        <v>1474</v>
      </c>
      <c r="I33" s="94">
        <v>15181</v>
      </c>
    </row>
    <row r="34" spans="1:9">
      <c r="A34" s="56" t="s">
        <v>112</v>
      </c>
      <c r="B34" s="49" t="s">
        <v>81</v>
      </c>
      <c r="C34" s="49" t="s">
        <v>124</v>
      </c>
      <c r="D34" s="93">
        <v>246</v>
      </c>
      <c r="E34" s="93">
        <v>26548</v>
      </c>
      <c r="F34" s="93">
        <v>133</v>
      </c>
      <c r="G34" s="93">
        <v>72</v>
      </c>
      <c r="H34" s="93">
        <v>171</v>
      </c>
      <c r="I34" s="94">
        <v>27170</v>
      </c>
    </row>
    <row r="35" spans="1:9">
      <c r="A35" s="56"/>
      <c r="B35" s="49"/>
      <c r="C35" s="49" t="s">
        <v>125</v>
      </c>
      <c r="D35" s="93">
        <v>13431</v>
      </c>
      <c r="E35" s="93">
        <v>2339</v>
      </c>
      <c r="F35" s="93">
        <v>1247</v>
      </c>
      <c r="G35" s="93">
        <v>213</v>
      </c>
      <c r="H35" s="93">
        <v>3018</v>
      </c>
      <c r="I35" s="94">
        <v>20248</v>
      </c>
    </row>
    <row r="36" spans="1:9">
      <c r="A36" s="58"/>
      <c r="B36" s="59" t="s">
        <v>65</v>
      </c>
      <c r="C36" s="59"/>
      <c r="D36" s="95">
        <v>25337</v>
      </c>
      <c r="E36" s="95">
        <v>30116</v>
      </c>
      <c r="F36" s="95">
        <v>2123</v>
      </c>
      <c r="G36" s="95">
        <v>360</v>
      </c>
      <c r="H36" s="95">
        <v>4663</v>
      </c>
      <c r="I36" s="96">
        <v>62599</v>
      </c>
    </row>
    <row r="37" spans="1:9">
      <c r="A37" s="56" t="s">
        <v>86</v>
      </c>
      <c r="B37" s="49" t="s">
        <v>67</v>
      </c>
      <c r="C37" s="49"/>
      <c r="D37" s="93">
        <v>1739</v>
      </c>
      <c r="E37" s="93">
        <v>1784</v>
      </c>
      <c r="F37" s="93">
        <v>117</v>
      </c>
      <c r="G37" s="93" t="s">
        <v>79</v>
      </c>
      <c r="H37" s="93" t="s">
        <v>79</v>
      </c>
      <c r="I37" s="94">
        <v>4376</v>
      </c>
    </row>
    <row r="38" spans="1:9">
      <c r="A38" s="56"/>
      <c r="B38" s="49" t="s">
        <v>129</v>
      </c>
      <c r="C38" s="49"/>
      <c r="D38" s="93"/>
      <c r="E38" s="93"/>
      <c r="F38" s="93"/>
      <c r="G38" s="93"/>
      <c r="H38" s="93"/>
      <c r="I38" s="94"/>
    </row>
    <row r="39" spans="1:9">
      <c r="A39" s="56"/>
      <c r="B39" s="49" t="s">
        <v>71</v>
      </c>
      <c r="C39" s="49"/>
      <c r="D39" s="93">
        <v>27</v>
      </c>
      <c r="E39" s="93">
        <v>237</v>
      </c>
      <c r="F39" s="93">
        <v>0</v>
      </c>
      <c r="G39" s="93" t="s">
        <v>80</v>
      </c>
      <c r="H39" s="93" t="s">
        <v>79</v>
      </c>
      <c r="I39" s="94">
        <v>277</v>
      </c>
    </row>
    <row r="40" spans="1:9">
      <c r="A40" s="58"/>
      <c r="B40" s="59" t="s">
        <v>65</v>
      </c>
      <c r="C40" s="59"/>
      <c r="D40" s="95">
        <v>1766</v>
      </c>
      <c r="E40" s="95">
        <v>2021</v>
      </c>
      <c r="F40" s="95">
        <v>117</v>
      </c>
      <c r="G40" s="95">
        <v>29</v>
      </c>
      <c r="H40" s="95">
        <v>720</v>
      </c>
      <c r="I40" s="96">
        <v>4653</v>
      </c>
    </row>
    <row r="41" spans="1:9" ht="28.5" customHeight="1" thickBot="1">
      <c r="A41" s="71" t="s">
        <v>122</v>
      </c>
      <c r="B41" s="72"/>
      <c r="C41" s="106"/>
      <c r="D41" s="107">
        <v>119118</v>
      </c>
      <c r="E41" s="107">
        <v>165192</v>
      </c>
      <c r="F41" s="107">
        <v>9193</v>
      </c>
      <c r="G41" s="107">
        <v>1997</v>
      </c>
      <c r="H41" s="107">
        <v>28755</v>
      </c>
      <c r="I41" s="108">
        <v>324255</v>
      </c>
    </row>
    <row r="42" spans="1:9" ht="13.5" thickTop="1">
      <c r="A42" s="49"/>
      <c r="C42" s="49"/>
      <c r="D42" s="97"/>
      <c r="E42" s="97"/>
      <c r="F42" s="97"/>
      <c r="G42" s="97"/>
      <c r="H42" s="97"/>
      <c r="I42" s="97"/>
    </row>
    <row r="43" spans="1:9">
      <c r="A43" s="40" t="s">
        <v>90</v>
      </c>
      <c r="D43" s="40"/>
      <c r="E43" s="40"/>
      <c r="F43" s="40"/>
      <c r="G43" s="40"/>
      <c r="H43" s="40"/>
      <c r="I43" s="40"/>
    </row>
    <row r="44" spans="1:9" ht="14.25">
      <c r="A44" s="75" t="s">
        <v>120</v>
      </c>
      <c r="D44" s="40"/>
      <c r="E44" s="40"/>
      <c r="F44" s="40"/>
      <c r="G44" s="40"/>
      <c r="H44" s="40"/>
      <c r="I44" s="40"/>
    </row>
    <row r="45" spans="1:9" ht="14.25">
      <c r="A45" s="75" t="s">
        <v>130</v>
      </c>
      <c r="D45" s="40"/>
      <c r="E45" s="40"/>
      <c r="F45" s="40"/>
      <c r="G45" s="40"/>
      <c r="H45" s="40"/>
      <c r="I45" s="40"/>
    </row>
    <row r="46" spans="1:9">
      <c r="D46" s="40"/>
      <c r="E46" s="40"/>
      <c r="F46" s="40"/>
      <c r="G46" s="40"/>
      <c r="H46" s="40"/>
      <c r="I46" s="40"/>
    </row>
    <row r="47" spans="1:9">
      <c r="D47" s="40"/>
      <c r="E47" s="40"/>
      <c r="F47" s="40"/>
      <c r="G47" s="40"/>
      <c r="H47" s="40"/>
      <c r="I47" s="40"/>
    </row>
    <row r="48" spans="1:9">
      <c r="D48" s="40"/>
      <c r="E48" s="40"/>
      <c r="F48" s="40"/>
      <c r="G48" s="40"/>
      <c r="H48" s="40"/>
      <c r="I48" s="40"/>
    </row>
    <row r="49" s="40" customFormat="1"/>
    <row r="50" s="40" customFormat="1"/>
    <row r="51" s="40" customFormat="1"/>
  </sheetData>
  <mergeCells count="6">
    <mergeCell ref="I4:I6"/>
    <mergeCell ref="D4:D6"/>
    <mergeCell ref="E4:E6"/>
    <mergeCell ref="F4:F6"/>
    <mergeCell ref="G4:G6"/>
    <mergeCell ref="H4:H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6"/>
  <sheetViews>
    <sheetView workbookViewId="0"/>
  </sheetViews>
  <sheetFormatPr defaultRowHeight="12.75"/>
  <cols>
    <col min="1" max="1" width="18" customWidth="1"/>
    <col min="2" max="2" width="14.140625" customWidth="1"/>
    <col min="3" max="3" width="35.28515625" customWidth="1"/>
    <col min="4" max="4" width="11.28515625" bestFit="1" customWidth="1"/>
    <col min="5" max="5" width="16.7109375" bestFit="1" customWidth="1"/>
    <col min="6" max="6" width="15.85546875" bestFit="1" customWidth="1"/>
    <col min="7" max="7" width="14.42578125" bestFit="1" customWidth="1"/>
    <col min="8" max="8" width="14" bestFit="1" customWidth="1"/>
    <col min="9" max="9" width="11.140625" customWidth="1"/>
    <col min="10" max="10" width="9.140625" customWidth="1"/>
  </cols>
  <sheetData>
    <row r="1" spans="1:10" ht="18">
      <c r="A1" s="38" t="s">
        <v>132</v>
      </c>
      <c r="B1" s="38"/>
      <c r="C1" s="38"/>
      <c r="D1" s="91"/>
      <c r="E1" s="91"/>
      <c r="F1" s="91"/>
      <c r="G1" s="91"/>
      <c r="H1" s="91"/>
      <c r="I1" s="91"/>
      <c r="J1" s="38"/>
    </row>
    <row r="2" spans="1:10" ht="18">
      <c r="A2" s="38" t="s">
        <v>56</v>
      </c>
      <c r="B2" s="38"/>
      <c r="C2" s="38"/>
      <c r="D2" s="91"/>
      <c r="E2" s="91"/>
      <c r="F2" s="91"/>
      <c r="G2" s="91"/>
      <c r="H2" s="91"/>
      <c r="I2" s="91"/>
      <c r="J2" s="38"/>
    </row>
    <row r="3" spans="1:10" ht="13.5" thickBot="1">
      <c r="A3" s="40"/>
      <c r="B3" s="40"/>
      <c r="C3" s="40"/>
      <c r="D3" s="92"/>
      <c r="E3" s="92"/>
      <c r="F3" s="92"/>
      <c r="G3" s="92"/>
      <c r="H3" s="92"/>
      <c r="I3" s="92"/>
      <c r="J3" s="40"/>
    </row>
    <row r="4" spans="1:10" ht="14.25" thickTop="1" thickBot="1">
      <c r="A4" s="42"/>
      <c r="B4" s="43"/>
      <c r="C4" s="43"/>
      <c r="D4" s="442" t="s">
        <v>58</v>
      </c>
      <c r="E4" s="442" t="s">
        <v>133</v>
      </c>
      <c r="F4" s="442" t="s">
        <v>116</v>
      </c>
      <c r="G4" s="442" t="s">
        <v>117</v>
      </c>
      <c r="H4" s="443" t="s">
        <v>127</v>
      </c>
      <c r="I4" s="441" t="s">
        <v>61</v>
      </c>
      <c r="J4" s="44"/>
    </row>
    <row r="5" spans="1:10" ht="14.25" thickTop="1" thickBot="1">
      <c r="A5" s="45"/>
      <c r="B5" s="46"/>
      <c r="C5" s="46"/>
      <c r="D5" s="442"/>
      <c r="E5" s="442"/>
      <c r="F5" s="442"/>
      <c r="G5" s="442"/>
      <c r="H5" s="443"/>
      <c r="I5" s="441"/>
      <c r="J5" s="44"/>
    </row>
    <row r="6" spans="1:10" ht="13.5" thickTop="1">
      <c r="A6" s="47"/>
      <c r="B6" s="48"/>
      <c r="C6" s="48"/>
      <c r="D6" s="442"/>
      <c r="E6" s="442"/>
      <c r="F6" s="442"/>
      <c r="G6" s="442"/>
      <c r="H6" s="443"/>
      <c r="I6" s="441"/>
      <c r="J6" s="44"/>
    </row>
    <row r="7" spans="1:10">
      <c r="A7" s="56" t="s">
        <v>66</v>
      </c>
      <c r="B7" s="49" t="s">
        <v>67</v>
      </c>
      <c r="C7" s="49"/>
      <c r="D7" s="93">
        <v>2039.0000000000005</v>
      </c>
      <c r="E7" s="93">
        <v>1091.9999999999995</v>
      </c>
      <c r="F7" s="93" t="s">
        <v>79</v>
      </c>
      <c r="G7" s="93" t="s">
        <v>79</v>
      </c>
      <c r="H7" s="93">
        <v>718</v>
      </c>
      <c r="I7" s="94">
        <v>4134</v>
      </c>
      <c r="J7" s="40"/>
    </row>
    <row r="8" spans="1:10">
      <c r="A8" s="56"/>
      <c r="B8" s="49" t="s">
        <v>68</v>
      </c>
      <c r="C8" s="49"/>
      <c r="D8" s="93">
        <v>59.999999999999993</v>
      </c>
      <c r="E8" s="93">
        <v>1567</v>
      </c>
      <c r="F8" s="93" t="s">
        <v>80</v>
      </c>
      <c r="G8" s="93" t="s">
        <v>79</v>
      </c>
      <c r="H8" s="93">
        <v>140</v>
      </c>
      <c r="I8" s="94">
        <v>1777</v>
      </c>
      <c r="J8" s="40"/>
    </row>
    <row r="9" spans="1:10">
      <c r="A9" s="58"/>
      <c r="B9" s="59" t="s">
        <v>65</v>
      </c>
      <c r="C9" s="59"/>
      <c r="D9" s="95">
        <v>2099.0000000000005</v>
      </c>
      <c r="E9" s="95">
        <v>2658.9999999999995</v>
      </c>
      <c r="F9" s="95">
        <v>242.99999999999994</v>
      </c>
      <c r="G9" s="95">
        <v>52</v>
      </c>
      <c r="H9" s="95">
        <v>858</v>
      </c>
      <c r="I9" s="96">
        <v>5911</v>
      </c>
      <c r="J9" s="40"/>
    </row>
    <row r="10" spans="1:10" ht="14.25">
      <c r="A10" s="56" t="s">
        <v>103</v>
      </c>
      <c r="B10" s="49" t="s">
        <v>134</v>
      </c>
      <c r="C10" s="49"/>
      <c r="D10" s="93">
        <v>2475</v>
      </c>
      <c r="E10" s="93">
        <v>484</v>
      </c>
      <c r="F10" s="93">
        <v>188</v>
      </c>
      <c r="G10" s="93">
        <v>47</v>
      </c>
      <c r="H10" s="93">
        <v>1181</v>
      </c>
      <c r="I10" s="94">
        <v>4375</v>
      </c>
      <c r="J10" s="40"/>
    </row>
    <row r="11" spans="1:10" ht="13.9" customHeight="1">
      <c r="A11" s="56" t="s">
        <v>104</v>
      </c>
      <c r="B11" s="49" t="s">
        <v>129</v>
      </c>
      <c r="C11" s="49"/>
      <c r="D11" s="93"/>
      <c r="E11" s="93"/>
      <c r="F11" s="93"/>
      <c r="G11" s="93"/>
      <c r="H11" s="93"/>
      <c r="I11" s="94">
        <v>0</v>
      </c>
      <c r="J11" s="40"/>
    </row>
    <row r="12" spans="1:10">
      <c r="A12" s="56"/>
      <c r="B12" s="49" t="s">
        <v>71</v>
      </c>
      <c r="C12" s="49"/>
      <c r="D12" s="93">
        <v>107</v>
      </c>
      <c r="E12" s="93">
        <v>3867</v>
      </c>
      <c r="F12" s="93">
        <v>19</v>
      </c>
      <c r="G12" s="93">
        <v>48</v>
      </c>
      <c r="H12" s="93">
        <v>122</v>
      </c>
      <c r="I12" s="94">
        <v>4163</v>
      </c>
      <c r="J12" s="40"/>
    </row>
    <row r="13" spans="1:10">
      <c r="A13" s="56"/>
      <c r="B13" s="49" t="s">
        <v>69</v>
      </c>
      <c r="C13" s="49"/>
      <c r="D13" s="93">
        <v>34</v>
      </c>
      <c r="E13" s="93">
        <v>28</v>
      </c>
      <c r="F13" s="93" t="s">
        <v>79</v>
      </c>
      <c r="G13" s="93" t="s">
        <v>80</v>
      </c>
      <c r="H13" s="93">
        <v>24</v>
      </c>
      <c r="I13" s="94">
        <v>94</v>
      </c>
      <c r="J13" s="40"/>
    </row>
    <row r="14" spans="1:10" ht="14.25">
      <c r="A14" s="56"/>
      <c r="B14" s="49" t="s">
        <v>135</v>
      </c>
      <c r="C14" s="49"/>
      <c r="D14" s="93">
        <v>123</v>
      </c>
      <c r="E14" s="93">
        <v>176</v>
      </c>
      <c r="F14" s="93" t="s">
        <v>79</v>
      </c>
      <c r="G14" s="93" t="s">
        <v>80</v>
      </c>
      <c r="H14" s="93">
        <v>94</v>
      </c>
      <c r="I14" s="94">
        <v>420</v>
      </c>
      <c r="J14" s="40"/>
    </row>
    <row r="15" spans="1:10">
      <c r="A15" s="58"/>
      <c r="B15" s="59" t="s">
        <v>65</v>
      </c>
      <c r="C15" s="59"/>
      <c r="D15" s="95">
        <v>2739</v>
      </c>
      <c r="E15" s="95">
        <v>4555</v>
      </c>
      <c r="F15" s="95">
        <v>236</v>
      </c>
      <c r="G15" s="95">
        <v>101</v>
      </c>
      <c r="H15" s="95">
        <v>1421</v>
      </c>
      <c r="I15" s="96">
        <v>9052</v>
      </c>
      <c r="J15" s="62"/>
    </row>
    <row r="16" spans="1:10">
      <c r="A16" s="56" t="s">
        <v>105</v>
      </c>
      <c r="B16" s="49" t="s">
        <v>67</v>
      </c>
      <c r="C16" s="49"/>
      <c r="D16" s="93">
        <v>51463</v>
      </c>
      <c r="E16" s="93">
        <v>3877</v>
      </c>
      <c r="F16" s="93">
        <v>3243</v>
      </c>
      <c r="G16" s="93">
        <v>578</v>
      </c>
      <c r="H16" s="93">
        <v>12063</v>
      </c>
      <c r="I16" s="94">
        <v>71224</v>
      </c>
      <c r="J16" s="40"/>
    </row>
    <row r="17" spans="1:10">
      <c r="A17" s="56" t="s">
        <v>106</v>
      </c>
      <c r="B17" s="49" t="s">
        <v>129</v>
      </c>
      <c r="C17" s="49"/>
      <c r="D17" s="98"/>
      <c r="E17" s="98"/>
      <c r="F17" s="98"/>
      <c r="G17" s="98"/>
      <c r="H17" s="99"/>
      <c r="I17" s="100"/>
      <c r="J17" s="40"/>
    </row>
    <row r="18" spans="1:10">
      <c r="A18" s="56"/>
      <c r="B18" s="49" t="s">
        <v>71</v>
      </c>
      <c r="C18" s="49"/>
      <c r="D18" s="93">
        <v>730</v>
      </c>
      <c r="E18" s="93">
        <v>71675</v>
      </c>
      <c r="F18" s="93">
        <v>319</v>
      </c>
      <c r="G18" s="93">
        <v>309</v>
      </c>
      <c r="H18" s="93">
        <v>958</v>
      </c>
      <c r="I18" s="94">
        <v>73991</v>
      </c>
      <c r="J18" s="40"/>
    </row>
    <row r="19" spans="1:10">
      <c r="A19" s="56"/>
      <c r="B19" s="49" t="s">
        <v>69</v>
      </c>
      <c r="C19" s="49"/>
      <c r="D19" s="93">
        <v>1462</v>
      </c>
      <c r="E19" s="93">
        <v>869</v>
      </c>
      <c r="F19" s="93">
        <v>186</v>
      </c>
      <c r="G19" s="93">
        <v>47</v>
      </c>
      <c r="H19" s="93">
        <v>645</v>
      </c>
      <c r="I19" s="94">
        <v>3209</v>
      </c>
      <c r="J19" s="40"/>
    </row>
    <row r="20" spans="1:10" ht="14.25">
      <c r="A20" s="56"/>
      <c r="B20" s="49" t="s">
        <v>135</v>
      </c>
      <c r="C20" s="49"/>
      <c r="D20" s="93">
        <v>1786</v>
      </c>
      <c r="E20" s="93">
        <v>2316</v>
      </c>
      <c r="F20" s="93">
        <v>304</v>
      </c>
      <c r="G20" s="93">
        <v>61</v>
      </c>
      <c r="H20" s="93">
        <v>849</v>
      </c>
      <c r="I20" s="94">
        <v>5316</v>
      </c>
      <c r="J20" s="40"/>
    </row>
    <row r="21" spans="1:10">
      <c r="A21" s="58"/>
      <c r="B21" s="59" t="s">
        <v>65</v>
      </c>
      <c r="C21" s="59"/>
      <c r="D21" s="95">
        <v>55441</v>
      </c>
      <c r="E21" s="95">
        <v>78737</v>
      </c>
      <c r="F21" s="95">
        <v>4052</v>
      </c>
      <c r="G21" s="95">
        <v>995</v>
      </c>
      <c r="H21" s="95">
        <v>14515</v>
      </c>
      <c r="I21" s="96">
        <v>153740</v>
      </c>
      <c r="J21" s="40"/>
    </row>
    <row r="22" spans="1:10">
      <c r="A22" s="56" t="s">
        <v>107</v>
      </c>
      <c r="B22" s="49" t="s">
        <v>67</v>
      </c>
      <c r="C22" s="49"/>
      <c r="D22" s="93">
        <v>162</v>
      </c>
      <c r="E22" s="93">
        <v>17</v>
      </c>
      <c r="F22" s="93">
        <v>11</v>
      </c>
      <c r="G22" s="93">
        <v>0</v>
      </c>
      <c r="H22" s="93">
        <v>56</v>
      </c>
      <c r="I22" s="94">
        <v>246</v>
      </c>
      <c r="J22" s="40"/>
    </row>
    <row r="23" spans="1:10">
      <c r="A23" s="56" t="s">
        <v>106</v>
      </c>
      <c r="B23" s="49" t="s">
        <v>81</v>
      </c>
      <c r="C23" s="49" t="s">
        <v>124</v>
      </c>
      <c r="D23" s="101">
        <v>0</v>
      </c>
      <c r="E23" s="102">
        <v>0</v>
      </c>
      <c r="F23" s="103">
        <v>0</v>
      </c>
      <c r="G23" s="102">
        <v>0</v>
      </c>
      <c r="H23" s="104">
        <v>0</v>
      </c>
      <c r="I23" s="105">
        <v>0</v>
      </c>
      <c r="J23" s="40"/>
    </row>
    <row r="24" spans="1:10">
      <c r="A24" s="56"/>
      <c r="B24" s="49"/>
      <c r="C24" s="49" t="s">
        <v>125</v>
      </c>
      <c r="D24" s="93">
        <v>803</v>
      </c>
      <c r="E24" s="93">
        <v>187</v>
      </c>
      <c r="F24" s="93">
        <v>189</v>
      </c>
      <c r="G24" s="93">
        <v>31</v>
      </c>
      <c r="H24" s="93">
        <v>498</v>
      </c>
      <c r="I24" s="94">
        <v>1708</v>
      </c>
      <c r="J24" s="40"/>
    </row>
    <row r="25" spans="1:10">
      <c r="A25" s="58"/>
      <c r="B25" s="59" t="s">
        <v>65</v>
      </c>
      <c r="C25" s="59"/>
      <c r="D25" s="95">
        <v>965</v>
      </c>
      <c r="E25" s="95">
        <v>204</v>
      </c>
      <c r="F25" s="95">
        <v>200</v>
      </c>
      <c r="G25" s="95">
        <v>31</v>
      </c>
      <c r="H25" s="95">
        <v>554</v>
      </c>
      <c r="I25" s="96">
        <v>1954</v>
      </c>
      <c r="J25" s="40"/>
    </row>
    <row r="26" spans="1:10">
      <c r="A26" s="56" t="s">
        <v>108</v>
      </c>
      <c r="B26" s="49" t="s">
        <v>67</v>
      </c>
      <c r="C26" s="49"/>
      <c r="D26" s="93">
        <v>25020</v>
      </c>
      <c r="E26" s="93">
        <v>652</v>
      </c>
      <c r="F26" s="93">
        <v>1044</v>
      </c>
      <c r="G26" s="93">
        <v>135</v>
      </c>
      <c r="H26" s="93">
        <v>3507</v>
      </c>
      <c r="I26" s="94">
        <v>30358</v>
      </c>
      <c r="J26" s="40"/>
    </row>
    <row r="27" spans="1:10">
      <c r="A27" s="56" t="s">
        <v>109</v>
      </c>
      <c r="B27" s="49" t="s">
        <v>129</v>
      </c>
      <c r="C27" s="49"/>
      <c r="D27" s="93"/>
      <c r="E27" s="93"/>
      <c r="F27" s="93"/>
      <c r="G27" s="93"/>
      <c r="H27" s="93"/>
      <c r="I27" s="94"/>
      <c r="J27" s="40"/>
    </row>
    <row r="28" spans="1:10">
      <c r="A28" s="56" t="s">
        <v>110</v>
      </c>
      <c r="B28" s="49" t="s">
        <v>71</v>
      </c>
      <c r="C28" s="49"/>
      <c r="D28" s="93">
        <v>333</v>
      </c>
      <c r="E28" s="93">
        <v>40893</v>
      </c>
      <c r="F28" s="93">
        <v>114</v>
      </c>
      <c r="G28" s="93">
        <v>69</v>
      </c>
      <c r="H28" s="93">
        <v>295</v>
      </c>
      <c r="I28" s="94">
        <v>41704</v>
      </c>
      <c r="J28" s="40"/>
    </row>
    <row r="29" spans="1:10">
      <c r="A29" s="56"/>
      <c r="B29" s="49" t="s">
        <v>69</v>
      </c>
      <c r="C29" s="49"/>
      <c r="D29" s="93">
        <v>1810</v>
      </c>
      <c r="E29" s="93">
        <v>440</v>
      </c>
      <c r="F29" s="93">
        <v>90</v>
      </c>
      <c r="G29" s="93">
        <v>19</v>
      </c>
      <c r="H29" s="93">
        <v>354</v>
      </c>
      <c r="I29" s="94">
        <v>2713</v>
      </c>
      <c r="J29" s="40"/>
    </row>
    <row r="30" spans="1:10">
      <c r="A30" s="56"/>
      <c r="B30" s="49" t="s">
        <v>72</v>
      </c>
      <c r="C30" s="49"/>
      <c r="D30" s="93">
        <v>3997</v>
      </c>
      <c r="E30" s="93">
        <v>3957</v>
      </c>
      <c r="F30" s="93">
        <v>425</v>
      </c>
      <c r="G30" s="93">
        <v>82</v>
      </c>
      <c r="H30" s="93">
        <v>957</v>
      </c>
      <c r="I30" s="94">
        <v>9418</v>
      </c>
      <c r="J30" s="40"/>
    </row>
    <row r="31" spans="1:10">
      <c r="A31" s="58"/>
      <c r="B31" s="59" t="s">
        <v>65</v>
      </c>
      <c r="C31" s="59"/>
      <c r="D31" s="95">
        <v>31160</v>
      </c>
      <c r="E31" s="95">
        <v>45942</v>
      </c>
      <c r="F31" s="95">
        <v>1673</v>
      </c>
      <c r="G31" s="95">
        <v>305</v>
      </c>
      <c r="H31" s="95">
        <v>5113</v>
      </c>
      <c r="I31" s="96">
        <v>84193</v>
      </c>
      <c r="J31" s="40"/>
    </row>
    <row r="32" spans="1:10">
      <c r="A32" s="56" t="s">
        <v>111</v>
      </c>
      <c r="B32" s="49" t="s">
        <v>67</v>
      </c>
      <c r="C32" s="49"/>
      <c r="D32" s="93">
        <v>11668</v>
      </c>
      <c r="E32" s="93">
        <v>1172</v>
      </c>
      <c r="F32" s="93">
        <v>764</v>
      </c>
      <c r="G32" s="93">
        <v>73</v>
      </c>
      <c r="H32" s="93">
        <v>1508</v>
      </c>
      <c r="I32" s="94">
        <v>15185</v>
      </c>
      <c r="J32" s="40"/>
    </row>
    <row r="33" spans="1:10">
      <c r="A33" s="56" t="s">
        <v>112</v>
      </c>
      <c r="B33" s="49" t="s">
        <v>81</v>
      </c>
      <c r="C33" s="49" t="s">
        <v>124</v>
      </c>
      <c r="D33" s="93">
        <v>255</v>
      </c>
      <c r="E33" s="93">
        <v>26524</v>
      </c>
      <c r="F33" s="93">
        <v>117</v>
      </c>
      <c r="G33" s="93">
        <v>60</v>
      </c>
      <c r="H33" s="93">
        <v>141</v>
      </c>
      <c r="I33" s="94">
        <v>27097</v>
      </c>
      <c r="J33" s="40"/>
    </row>
    <row r="34" spans="1:10">
      <c r="A34" s="56"/>
      <c r="B34" s="49"/>
      <c r="C34" s="49" t="s">
        <v>125</v>
      </c>
      <c r="D34" s="93">
        <v>13594</v>
      </c>
      <c r="E34" s="93">
        <v>2253</v>
      </c>
      <c r="F34" s="93">
        <v>1176</v>
      </c>
      <c r="G34" s="93">
        <v>212</v>
      </c>
      <c r="H34" s="93">
        <v>3037</v>
      </c>
      <c r="I34" s="94">
        <v>20272</v>
      </c>
      <c r="J34" s="40"/>
    </row>
    <row r="35" spans="1:10">
      <c r="A35" s="58"/>
      <c r="B35" s="59" t="s">
        <v>65</v>
      </c>
      <c r="C35" s="59"/>
      <c r="D35" s="95">
        <v>25517</v>
      </c>
      <c r="E35" s="95">
        <v>29949</v>
      </c>
      <c r="F35" s="95">
        <v>2057</v>
      </c>
      <c r="G35" s="95">
        <v>345</v>
      </c>
      <c r="H35" s="95">
        <v>4686</v>
      </c>
      <c r="I35" s="96">
        <v>62554</v>
      </c>
      <c r="J35" s="40"/>
    </row>
    <row r="36" spans="1:10">
      <c r="A36" s="56" t="s">
        <v>86</v>
      </c>
      <c r="B36" s="49" t="s">
        <v>67</v>
      </c>
      <c r="C36" s="49"/>
      <c r="D36" s="93">
        <v>1700</v>
      </c>
      <c r="E36" s="93">
        <v>1743</v>
      </c>
      <c r="F36" s="93">
        <v>114</v>
      </c>
      <c r="G36" s="93">
        <v>25</v>
      </c>
      <c r="H36" s="93">
        <v>727</v>
      </c>
      <c r="I36" s="94">
        <v>4309</v>
      </c>
      <c r="J36" s="40"/>
    </row>
    <row r="37" spans="1:10">
      <c r="A37" s="56"/>
      <c r="B37" s="49" t="s">
        <v>129</v>
      </c>
      <c r="C37" s="49"/>
      <c r="D37" s="93"/>
      <c r="E37" s="93"/>
      <c r="F37" s="93"/>
      <c r="G37" s="93"/>
      <c r="H37" s="93"/>
      <c r="I37" s="94"/>
      <c r="J37" s="40"/>
    </row>
    <row r="38" spans="1:10">
      <c r="A38" s="56"/>
      <c r="B38" s="49" t="s">
        <v>71</v>
      </c>
      <c r="C38" s="49"/>
      <c r="D38" s="93">
        <v>24</v>
      </c>
      <c r="E38" s="93">
        <v>206</v>
      </c>
      <c r="F38" s="93">
        <v>0</v>
      </c>
      <c r="G38" s="93">
        <v>0</v>
      </c>
      <c r="H38" s="93">
        <v>10</v>
      </c>
      <c r="I38" s="94">
        <v>240</v>
      </c>
      <c r="J38" s="40"/>
    </row>
    <row r="39" spans="1:10">
      <c r="A39" s="58"/>
      <c r="B39" s="59" t="s">
        <v>65</v>
      </c>
      <c r="C39" s="59"/>
      <c r="D39" s="95">
        <v>1724</v>
      </c>
      <c r="E39" s="95">
        <v>1949</v>
      </c>
      <c r="F39" s="95">
        <v>114</v>
      </c>
      <c r="G39" s="95">
        <v>25</v>
      </c>
      <c r="H39" s="95">
        <v>737</v>
      </c>
      <c r="I39" s="96">
        <v>4549</v>
      </c>
      <c r="J39" s="40"/>
    </row>
    <row r="40" spans="1:10" ht="13.5" thickBot="1">
      <c r="A40" s="71" t="s">
        <v>122</v>
      </c>
      <c r="B40" s="72"/>
      <c r="C40" s="106"/>
      <c r="D40" s="107">
        <v>119645</v>
      </c>
      <c r="E40" s="107">
        <v>163995</v>
      </c>
      <c r="F40" s="107">
        <v>8575</v>
      </c>
      <c r="G40" s="107">
        <v>1854</v>
      </c>
      <c r="H40" s="107">
        <v>27884.000000000004</v>
      </c>
      <c r="I40" s="108">
        <v>321953</v>
      </c>
      <c r="J40" s="40"/>
    </row>
    <row r="41" spans="1:10" ht="13.5" thickTop="1">
      <c r="A41" s="49"/>
      <c r="B41" s="40"/>
      <c r="C41" s="49"/>
      <c r="D41" s="97"/>
      <c r="E41" s="97"/>
      <c r="F41" s="97"/>
      <c r="G41" s="97"/>
      <c r="H41" s="97"/>
      <c r="I41" s="97"/>
      <c r="J41" s="40"/>
    </row>
    <row r="42" spans="1:10" ht="14.25">
      <c r="A42" s="40" t="s">
        <v>136</v>
      </c>
      <c r="B42" s="40"/>
      <c r="C42" s="40"/>
      <c r="D42" s="92"/>
      <c r="E42" s="92"/>
      <c r="F42" s="92"/>
      <c r="G42" s="92"/>
      <c r="H42" s="92"/>
      <c r="I42" s="92"/>
      <c r="J42" s="40"/>
    </row>
    <row r="43" spans="1:10" ht="14.25">
      <c r="A43" s="75" t="s">
        <v>137</v>
      </c>
      <c r="B43" s="40"/>
      <c r="C43" s="40"/>
      <c r="D43" s="92"/>
      <c r="E43" s="92"/>
      <c r="F43" s="92"/>
      <c r="G43" s="92"/>
      <c r="H43" s="92"/>
      <c r="I43" s="92"/>
      <c r="J43" s="40"/>
    </row>
    <row r="44" spans="1:10" ht="14.25">
      <c r="A44" s="75" t="s">
        <v>130</v>
      </c>
      <c r="B44" s="40"/>
      <c r="C44" s="40"/>
      <c r="D44" s="92"/>
      <c r="E44" s="92"/>
      <c r="F44" s="92"/>
      <c r="G44" s="92"/>
      <c r="H44" s="92"/>
      <c r="I44" s="92"/>
      <c r="J44" s="40"/>
    </row>
    <row r="45" spans="1:10" ht="14.25">
      <c r="A45" s="40" t="s">
        <v>138</v>
      </c>
      <c r="B45" s="40"/>
      <c r="C45" s="40"/>
      <c r="D45" s="92"/>
      <c r="E45" s="92"/>
      <c r="F45" s="92"/>
      <c r="G45" s="92"/>
      <c r="H45" s="92"/>
      <c r="I45" s="92"/>
      <c r="J45" s="40"/>
    </row>
    <row r="46" spans="1:10">
      <c r="A46" s="40"/>
      <c r="B46" s="40"/>
      <c r="C46" s="40"/>
      <c r="D46" s="92"/>
      <c r="E46" s="92"/>
      <c r="F46" s="92"/>
      <c r="G46" s="92"/>
      <c r="H46" s="92"/>
      <c r="I46" s="92"/>
      <c r="J46" s="40"/>
    </row>
  </sheetData>
  <mergeCells count="6">
    <mergeCell ref="I4:I6"/>
    <mergeCell ref="D4:D6"/>
    <mergeCell ref="E4:E6"/>
    <mergeCell ref="F4:F6"/>
    <mergeCell ref="G4:G6"/>
    <mergeCell ref="H4:H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6"/>
  <sheetViews>
    <sheetView workbookViewId="0"/>
  </sheetViews>
  <sheetFormatPr defaultRowHeight="12.75"/>
  <cols>
    <col min="1" max="1" width="18" customWidth="1"/>
    <col min="2" max="2" width="14.140625" customWidth="1"/>
    <col min="3" max="3" width="35.28515625" customWidth="1"/>
    <col min="4" max="4" width="11.28515625" bestFit="1" customWidth="1"/>
    <col min="5" max="5" width="16.7109375" bestFit="1" customWidth="1"/>
    <col min="6" max="6" width="15.85546875" bestFit="1" customWidth="1"/>
    <col min="7" max="7" width="14.42578125" bestFit="1" customWidth="1"/>
    <col min="8" max="8" width="14" bestFit="1" customWidth="1"/>
    <col min="9" max="9" width="11.140625" customWidth="1"/>
    <col min="10" max="10" width="9.140625" customWidth="1"/>
  </cols>
  <sheetData>
    <row r="1" spans="1:11" ht="18">
      <c r="A1" s="38" t="s">
        <v>139</v>
      </c>
      <c r="B1" s="38"/>
      <c r="C1" s="38"/>
      <c r="D1" s="91"/>
      <c r="E1" s="91"/>
      <c r="F1" s="91"/>
      <c r="G1" s="91"/>
      <c r="H1" s="91"/>
      <c r="I1" s="91"/>
      <c r="J1" s="38"/>
    </row>
    <row r="2" spans="1:11" ht="18">
      <c r="A2" s="38" t="s">
        <v>56</v>
      </c>
      <c r="B2" s="38"/>
      <c r="C2" s="38"/>
      <c r="D2" s="91"/>
      <c r="E2" s="91"/>
      <c r="F2" s="91"/>
      <c r="G2" s="91"/>
      <c r="H2" s="91"/>
      <c r="I2" s="91"/>
      <c r="J2" s="38"/>
    </row>
    <row r="3" spans="1:11" ht="13.5" thickBot="1">
      <c r="A3" s="40"/>
      <c r="B3" s="40"/>
      <c r="C3" s="40"/>
      <c r="D3" s="92"/>
      <c r="E3" s="92"/>
      <c r="F3" s="92"/>
      <c r="G3" s="92"/>
      <c r="H3" s="92"/>
      <c r="I3" s="92"/>
      <c r="J3" s="40"/>
    </row>
    <row r="4" spans="1:11" ht="14.25" thickTop="1" thickBot="1">
      <c r="A4" s="42"/>
      <c r="B4" s="43"/>
      <c r="C4" s="43"/>
      <c r="D4" s="442" t="s">
        <v>58</v>
      </c>
      <c r="E4" s="442" t="s">
        <v>133</v>
      </c>
      <c r="F4" s="442" t="s">
        <v>116</v>
      </c>
      <c r="G4" s="442" t="s">
        <v>117</v>
      </c>
      <c r="H4" s="443" t="s">
        <v>127</v>
      </c>
      <c r="I4" s="441" t="s">
        <v>61</v>
      </c>
      <c r="J4" s="44"/>
    </row>
    <row r="5" spans="1:11" ht="14.25" thickTop="1" thickBot="1">
      <c r="A5" s="45"/>
      <c r="B5" s="46"/>
      <c r="C5" s="46"/>
      <c r="D5" s="442"/>
      <c r="E5" s="442"/>
      <c r="F5" s="442"/>
      <c r="G5" s="442"/>
      <c r="H5" s="443"/>
      <c r="I5" s="441"/>
      <c r="J5" s="44"/>
    </row>
    <row r="6" spans="1:11" ht="13.5" thickTop="1">
      <c r="A6" s="47"/>
      <c r="B6" s="48"/>
      <c r="C6" s="48"/>
      <c r="D6" s="442"/>
      <c r="E6" s="442"/>
      <c r="F6" s="442"/>
      <c r="G6" s="442"/>
      <c r="H6" s="443"/>
      <c r="I6" s="441"/>
      <c r="J6" s="44"/>
    </row>
    <row r="7" spans="1:11">
      <c r="A7" s="56" t="s">
        <v>66</v>
      </c>
      <c r="B7" s="49" t="s">
        <v>67</v>
      </c>
      <c r="C7" s="49"/>
      <c r="D7" s="93">
        <v>2169</v>
      </c>
      <c r="E7" s="93">
        <v>1089</v>
      </c>
      <c r="F7" s="93" t="s">
        <v>79</v>
      </c>
      <c r="G7" s="93" t="s">
        <v>79</v>
      </c>
      <c r="H7" s="93">
        <v>620</v>
      </c>
      <c r="I7" s="94">
        <v>4101</v>
      </c>
      <c r="J7" s="40"/>
    </row>
    <row r="8" spans="1:11">
      <c r="A8" s="56"/>
      <c r="B8" s="49" t="s">
        <v>68</v>
      </c>
      <c r="C8" s="49"/>
      <c r="D8" s="93">
        <v>62</v>
      </c>
      <c r="E8" s="93">
        <v>1614</v>
      </c>
      <c r="F8" s="93" t="s">
        <v>80</v>
      </c>
      <c r="G8" s="93" t="s">
        <v>80</v>
      </c>
      <c r="H8" s="93">
        <v>121</v>
      </c>
      <c r="I8" s="94">
        <v>1805</v>
      </c>
      <c r="J8" s="40"/>
    </row>
    <row r="9" spans="1:11">
      <c r="A9" s="58"/>
      <c r="B9" s="59" t="s">
        <v>65</v>
      </c>
      <c r="C9" s="59"/>
      <c r="D9" s="95">
        <v>2231</v>
      </c>
      <c r="E9" s="95">
        <v>2703</v>
      </c>
      <c r="F9" s="95">
        <v>199</v>
      </c>
      <c r="G9" s="95">
        <v>32</v>
      </c>
      <c r="H9" s="95">
        <v>741</v>
      </c>
      <c r="I9" s="96">
        <v>5906</v>
      </c>
      <c r="J9" s="40"/>
      <c r="K9" s="109"/>
    </row>
    <row r="10" spans="1:11" ht="14.25">
      <c r="A10" s="56" t="s">
        <v>103</v>
      </c>
      <c r="B10" s="49" t="s">
        <v>134</v>
      </c>
      <c r="C10" s="49"/>
      <c r="D10" s="93">
        <v>2378</v>
      </c>
      <c r="E10" s="93">
        <v>482</v>
      </c>
      <c r="F10" s="93">
        <v>163</v>
      </c>
      <c r="G10" s="93">
        <v>42</v>
      </c>
      <c r="H10" s="93">
        <v>1246</v>
      </c>
      <c r="I10" s="94">
        <v>4311</v>
      </c>
      <c r="J10" s="40"/>
      <c r="K10" s="109"/>
    </row>
    <row r="11" spans="1:11" ht="13.9" customHeight="1">
      <c r="A11" s="56" t="s">
        <v>104</v>
      </c>
      <c r="B11" s="49" t="s">
        <v>129</v>
      </c>
      <c r="C11" s="49"/>
      <c r="D11" s="93"/>
      <c r="E11" s="93"/>
      <c r="F11" s="93"/>
      <c r="G11" s="93"/>
      <c r="H11" s="93"/>
      <c r="I11" s="94"/>
      <c r="J11" s="40"/>
      <c r="K11" s="109"/>
    </row>
    <row r="12" spans="1:11">
      <c r="A12" s="56"/>
      <c r="B12" s="49" t="s">
        <v>71</v>
      </c>
      <c r="C12" s="49"/>
      <c r="D12" s="93">
        <v>88</v>
      </c>
      <c r="E12" s="93">
        <v>3843</v>
      </c>
      <c r="F12" s="93">
        <v>28</v>
      </c>
      <c r="G12" s="93">
        <v>35</v>
      </c>
      <c r="H12" s="93">
        <v>105</v>
      </c>
      <c r="I12" s="94">
        <v>4099</v>
      </c>
      <c r="J12" s="40"/>
      <c r="K12" s="109"/>
    </row>
    <row r="13" spans="1:11">
      <c r="A13" s="56"/>
      <c r="B13" s="49" t="s">
        <v>69</v>
      </c>
      <c r="C13" s="49"/>
      <c r="D13" s="93">
        <v>32</v>
      </c>
      <c r="E13" s="93">
        <v>36</v>
      </c>
      <c r="F13" s="93" t="s">
        <v>80</v>
      </c>
      <c r="G13" s="93" t="s">
        <v>80</v>
      </c>
      <c r="H13" s="93">
        <v>22</v>
      </c>
      <c r="I13" s="94">
        <v>98</v>
      </c>
      <c r="J13" s="40"/>
      <c r="K13" s="109"/>
    </row>
    <row r="14" spans="1:11" ht="14.25">
      <c r="A14" s="56"/>
      <c r="B14" s="49" t="s">
        <v>135</v>
      </c>
      <c r="C14" s="49"/>
      <c r="D14" s="93">
        <v>132</v>
      </c>
      <c r="E14" s="93">
        <v>184</v>
      </c>
      <c r="F14" s="93" t="s">
        <v>79</v>
      </c>
      <c r="G14" s="93" t="s">
        <v>79</v>
      </c>
      <c r="H14" s="93">
        <v>76</v>
      </c>
      <c r="I14" s="94">
        <v>418</v>
      </c>
      <c r="J14" s="40"/>
      <c r="K14" s="109"/>
    </row>
    <row r="15" spans="1:11">
      <c r="A15" s="58"/>
      <c r="B15" s="59" t="s">
        <v>65</v>
      </c>
      <c r="C15" s="59"/>
      <c r="D15" s="95">
        <v>2630.0000000000123</v>
      </c>
      <c r="E15" s="95">
        <v>4545.0000000000036</v>
      </c>
      <c r="F15" s="95">
        <v>215.00000000000097</v>
      </c>
      <c r="G15" s="95">
        <v>86.999999999999901</v>
      </c>
      <c r="H15" s="95">
        <v>1449.0000000000014</v>
      </c>
      <c r="I15" s="96">
        <v>8926</v>
      </c>
      <c r="J15" s="62"/>
      <c r="K15" s="109"/>
    </row>
    <row r="16" spans="1:11">
      <c r="A16" s="56" t="s">
        <v>105</v>
      </c>
      <c r="B16" s="49" t="s">
        <v>67</v>
      </c>
      <c r="C16" s="49"/>
      <c r="D16" s="93">
        <v>51630</v>
      </c>
      <c r="E16" s="93">
        <v>3733</v>
      </c>
      <c r="F16" s="93">
        <v>3047</v>
      </c>
      <c r="G16" s="93">
        <v>555</v>
      </c>
      <c r="H16" s="93">
        <v>11643</v>
      </c>
      <c r="I16" s="94">
        <v>70608</v>
      </c>
      <c r="J16" s="40"/>
      <c r="K16" s="109"/>
    </row>
    <row r="17" spans="1:11">
      <c r="A17" s="56" t="s">
        <v>106</v>
      </c>
      <c r="B17" s="49" t="s">
        <v>129</v>
      </c>
      <c r="C17" s="49"/>
      <c r="D17" s="98"/>
      <c r="E17" s="98"/>
      <c r="F17" s="98"/>
      <c r="G17" s="98"/>
      <c r="H17" s="99"/>
      <c r="I17" s="100"/>
      <c r="J17" s="40"/>
      <c r="K17" s="109"/>
    </row>
    <row r="18" spans="1:11">
      <c r="A18" s="56"/>
      <c r="B18" s="49" t="s">
        <v>71</v>
      </c>
      <c r="C18" s="49"/>
      <c r="D18" s="93">
        <v>782</v>
      </c>
      <c r="E18" s="93">
        <v>71169</v>
      </c>
      <c r="F18" s="93">
        <v>283</v>
      </c>
      <c r="G18" s="93">
        <v>270</v>
      </c>
      <c r="H18" s="93">
        <v>819</v>
      </c>
      <c r="I18" s="94">
        <v>73323</v>
      </c>
      <c r="J18" s="40"/>
    </row>
    <row r="19" spans="1:11">
      <c r="A19" s="56"/>
      <c r="B19" s="49" t="s">
        <v>69</v>
      </c>
      <c r="C19" s="49"/>
      <c r="D19" s="93">
        <v>1487</v>
      </c>
      <c r="E19" s="93">
        <v>833</v>
      </c>
      <c r="F19" s="93">
        <v>185</v>
      </c>
      <c r="G19" s="93">
        <v>38</v>
      </c>
      <c r="H19" s="93">
        <v>601</v>
      </c>
      <c r="I19" s="94">
        <v>3144</v>
      </c>
      <c r="J19" s="40"/>
    </row>
    <row r="20" spans="1:11" ht="14.25">
      <c r="A20" s="56"/>
      <c r="B20" s="49" t="s">
        <v>135</v>
      </c>
      <c r="C20" s="49"/>
      <c r="D20" s="93">
        <v>1790</v>
      </c>
      <c r="E20" s="93">
        <v>2268</v>
      </c>
      <c r="F20" s="93">
        <v>292</v>
      </c>
      <c r="G20" s="93">
        <v>61</v>
      </c>
      <c r="H20" s="93">
        <v>847</v>
      </c>
      <c r="I20" s="94">
        <v>5258</v>
      </c>
      <c r="J20" s="40"/>
    </row>
    <row r="21" spans="1:11">
      <c r="A21" s="58"/>
      <c r="B21" s="59" t="s">
        <v>65</v>
      </c>
      <c r="C21" s="59"/>
      <c r="D21" s="95">
        <v>55689</v>
      </c>
      <c r="E21" s="95">
        <v>78003</v>
      </c>
      <c r="F21" s="95">
        <v>3807</v>
      </c>
      <c r="G21" s="95">
        <v>924</v>
      </c>
      <c r="H21" s="95">
        <v>13910</v>
      </c>
      <c r="I21" s="96">
        <v>152333</v>
      </c>
      <c r="J21" s="40"/>
    </row>
    <row r="22" spans="1:11">
      <c r="A22" s="56" t="s">
        <v>107</v>
      </c>
      <c r="B22" s="49" t="s">
        <v>67</v>
      </c>
      <c r="C22" s="49"/>
      <c r="D22" s="93">
        <v>206</v>
      </c>
      <c r="E22" s="93">
        <v>20</v>
      </c>
      <c r="F22" s="93">
        <v>15</v>
      </c>
      <c r="G22" s="93">
        <v>0</v>
      </c>
      <c r="H22" s="93">
        <v>54</v>
      </c>
      <c r="I22" s="94">
        <v>295</v>
      </c>
      <c r="J22" s="40"/>
    </row>
    <row r="23" spans="1:11">
      <c r="A23" s="56" t="s">
        <v>106</v>
      </c>
      <c r="B23" s="49" t="s">
        <v>81</v>
      </c>
      <c r="C23" s="49" t="s">
        <v>124</v>
      </c>
      <c r="D23" s="101">
        <v>0</v>
      </c>
      <c r="E23" s="102">
        <v>0</v>
      </c>
      <c r="F23" s="103">
        <v>0</v>
      </c>
      <c r="G23" s="102">
        <v>0</v>
      </c>
      <c r="H23" s="104">
        <v>0</v>
      </c>
      <c r="I23" s="105">
        <v>0</v>
      </c>
      <c r="J23" s="40"/>
    </row>
    <row r="24" spans="1:11">
      <c r="A24" s="56"/>
      <c r="B24" s="49"/>
      <c r="C24" s="49" t="s">
        <v>125</v>
      </c>
      <c r="D24" s="93">
        <v>904</v>
      </c>
      <c r="E24" s="93">
        <v>201</v>
      </c>
      <c r="F24" s="93">
        <v>149</v>
      </c>
      <c r="G24" s="93">
        <v>30</v>
      </c>
      <c r="H24" s="93">
        <v>540</v>
      </c>
      <c r="I24" s="94">
        <v>1824</v>
      </c>
      <c r="J24" s="40"/>
    </row>
    <row r="25" spans="1:11">
      <c r="A25" s="58"/>
      <c r="B25" s="59" t="s">
        <v>65</v>
      </c>
      <c r="C25" s="59"/>
      <c r="D25" s="95">
        <v>1110</v>
      </c>
      <c r="E25" s="95">
        <v>221</v>
      </c>
      <c r="F25" s="95">
        <v>164</v>
      </c>
      <c r="G25" s="95">
        <v>30</v>
      </c>
      <c r="H25" s="95">
        <v>594</v>
      </c>
      <c r="I25" s="96">
        <v>2119</v>
      </c>
      <c r="J25" s="40"/>
    </row>
    <row r="26" spans="1:11">
      <c r="A26" s="56" t="s">
        <v>108</v>
      </c>
      <c r="B26" s="49" t="s">
        <v>67</v>
      </c>
      <c r="C26" s="49"/>
      <c r="D26" s="93">
        <v>25947</v>
      </c>
      <c r="E26" s="93">
        <v>633</v>
      </c>
      <c r="F26" s="93">
        <v>1072</v>
      </c>
      <c r="G26" s="93">
        <v>125</v>
      </c>
      <c r="H26" s="93">
        <v>3627</v>
      </c>
      <c r="I26" s="94">
        <v>31404</v>
      </c>
      <c r="J26" s="40"/>
    </row>
    <row r="27" spans="1:11">
      <c r="A27" s="56" t="s">
        <v>109</v>
      </c>
      <c r="B27" s="49" t="s">
        <v>129</v>
      </c>
      <c r="C27" s="49"/>
      <c r="D27" s="93"/>
      <c r="E27" s="93"/>
      <c r="F27" s="93"/>
      <c r="G27" s="93"/>
      <c r="H27" s="93"/>
      <c r="I27" s="94"/>
      <c r="J27" s="40"/>
    </row>
    <row r="28" spans="1:11">
      <c r="A28" s="56" t="s">
        <v>110</v>
      </c>
      <c r="B28" s="49" t="s">
        <v>71</v>
      </c>
      <c r="C28" s="49"/>
      <c r="D28" s="93">
        <v>299</v>
      </c>
      <c r="E28" s="93">
        <v>41518</v>
      </c>
      <c r="F28" s="93">
        <v>89</v>
      </c>
      <c r="G28" s="93">
        <v>63</v>
      </c>
      <c r="H28" s="93">
        <v>263</v>
      </c>
      <c r="I28" s="94">
        <v>42232</v>
      </c>
      <c r="J28" s="40"/>
    </row>
    <row r="29" spans="1:11">
      <c r="A29" s="56"/>
      <c r="B29" s="49" t="s">
        <v>69</v>
      </c>
      <c r="C29" s="49"/>
      <c r="D29" s="93">
        <v>1788</v>
      </c>
      <c r="E29" s="93">
        <v>451</v>
      </c>
      <c r="F29" s="93">
        <v>86</v>
      </c>
      <c r="G29" s="93">
        <v>22</v>
      </c>
      <c r="H29" s="93">
        <v>356</v>
      </c>
      <c r="I29" s="94">
        <v>2703</v>
      </c>
      <c r="J29" s="40"/>
    </row>
    <row r="30" spans="1:11">
      <c r="A30" s="56"/>
      <c r="B30" s="49" t="s">
        <v>72</v>
      </c>
      <c r="C30" s="49"/>
      <c r="D30" s="93">
        <v>3978</v>
      </c>
      <c r="E30" s="93">
        <v>4012</v>
      </c>
      <c r="F30" s="93">
        <v>414</v>
      </c>
      <c r="G30" s="93">
        <v>82</v>
      </c>
      <c r="H30" s="93">
        <v>944</v>
      </c>
      <c r="I30" s="94">
        <v>9430</v>
      </c>
      <c r="J30" s="40"/>
    </row>
    <row r="31" spans="1:11">
      <c r="A31" s="58"/>
      <c r="B31" s="59" t="s">
        <v>65</v>
      </c>
      <c r="C31" s="59"/>
      <c r="D31" s="95">
        <v>32012</v>
      </c>
      <c r="E31" s="95">
        <v>46614</v>
      </c>
      <c r="F31" s="95">
        <v>1661</v>
      </c>
      <c r="G31" s="95">
        <v>292</v>
      </c>
      <c r="H31" s="95">
        <v>5190</v>
      </c>
      <c r="I31" s="96">
        <v>85769</v>
      </c>
      <c r="J31" s="40"/>
    </row>
    <row r="32" spans="1:11">
      <c r="A32" s="56" t="s">
        <v>111</v>
      </c>
      <c r="B32" s="49" t="s">
        <v>67</v>
      </c>
      <c r="C32" s="49"/>
      <c r="D32" s="93">
        <v>11484</v>
      </c>
      <c r="E32" s="93">
        <v>1048</v>
      </c>
      <c r="F32" s="93">
        <v>845</v>
      </c>
      <c r="G32" s="93">
        <v>72</v>
      </c>
      <c r="H32" s="93">
        <v>1454</v>
      </c>
      <c r="I32" s="94">
        <v>14903</v>
      </c>
      <c r="J32" s="40"/>
    </row>
    <row r="33" spans="1:10">
      <c r="A33" s="56" t="s">
        <v>112</v>
      </c>
      <c r="B33" s="49" t="s">
        <v>81</v>
      </c>
      <c r="C33" s="49" t="s">
        <v>124</v>
      </c>
      <c r="D33" s="93">
        <v>254</v>
      </c>
      <c r="E33" s="93">
        <v>26518</v>
      </c>
      <c r="F33" s="93">
        <v>101</v>
      </c>
      <c r="G33" s="93">
        <v>60</v>
      </c>
      <c r="H33" s="93">
        <v>110</v>
      </c>
      <c r="I33" s="94">
        <v>27043</v>
      </c>
      <c r="J33" s="40"/>
    </row>
    <row r="34" spans="1:10">
      <c r="A34" s="56"/>
      <c r="B34" s="49"/>
      <c r="C34" s="49" t="s">
        <v>125</v>
      </c>
      <c r="D34" s="93">
        <v>13268</v>
      </c>
      <c r="E34" s="93">
        <v>2169</v>
      </c>
      <c r="F34" s="93">
        <v>1161</v>
      </c>
      <c r="G34" s="93">
        <v>204</v>
      </c>
      <c r="H34" s="93">
        <v>3385</v>
      </c>
      <c r="I34" s="94">
        <v>20187</v>
      </c>
      <c r="J34" s="40"/>
    </row>
    <row r="35" spans="1:10">
      <c r="A35" s="58"/>
      <c r="B35" s="59" t="s">
        <v>65</v>
      </c>
      <c r="C35" s="59"/>
      <c r="D35" s="95">
        <v>25006</v>
      </c>
      <c r="E35" s="95">
        <v>29735</v>
      </c>
      <c r="F35" s="95">
        <v>2107</v>
      </c>
      <c r="G35" s="95">
        <v>336</v>
      </c>
      <c r="H35" s="95">
        <v>4949</v>
      </c>
      <c r="I35" s="96">
        <v>62133</v>
      </c>
      <c r="J35" s="40"/>
    </row>
    <row r="36" spans="1:10">
      <c r="A36" s="56" t="s">
        <v>86</v>
      </c>
      <c r="B36" s="49" t="s">
        <v>67</v>
      </c>
      <c r="C36" s="49"/>
      <c r="D36" s="93">
        <v>1696</v>
      </c>
      <c r="E36" s="93">
        <v>1685</v>
      </c>
      <c r="F36" s="93" t="s">
        <v>79</v>
      </c>
      <c r="G36" s="93" t="s">
        <v>79</v>
      </c>
      <c r="H36" s="93">
        <v>739</v>
      </c>
      <c r="I36" s="94">
        <v>4246</v>
      </c>
      <c r="J36" s="40"/>
    </row>
    <row r="37" spans="1:10">
      <c r="A37" s="56"/>
      <c r="B37" s="49" t="s">
        <v>129</v>
      </c>
      <c r="C37" s="49"/>
      <c r="D37" s="93"/>
      <c r="E37" s="93"/>
      <c r="F37" s="93"/>
      <c r="G37" s="93"/>
      <c r="H37" s="93"/>
      <c r="I37" s="94"/>
      <c r="J37" s="40"/>
    </row>
    <row r="38" spans="1:10">
      <c r="A38" s="56"/>
      <c r="B38" s="49" t="s">
        <v>71</v>
      </c>
      <c r="C38" s="49"/>
      <c r="D38" s="93">
        <v>23</v>
      </c>
      <c r="E38" s="93">
        <v>177</v>
      </c>
      <c r="F38" s="93" t="s">
        <v>80</v>
      </c>
      <c r="G38" s="93" t="s">
        <v>80</v>
      </c>
      <c r="H38" s="93">
        <v>9</v>
      </c>
      <c r="I38" s="94">
        <v>212</v>
      </c>
      <c r="J38" s="40"/>
    </row>
    <row r="39" spans="1:10">
      <c r="A39" s="58"/>
      <c r="B39" s="59" t="s">
        <v>65</v>
      </c>
      <c r="C39" s="59"/>
      <c r="D39" s="95">
        <v>1719</v>
      </c>
      <c r="E39" s="95">
        <v>1862</v>
      </c>
      <c r="F39" s="95">
        <v>104</v>
      </c>
      <c r="G39" s="95">
        <v>25</v>
      </c>
      <c r="H39" s="95">
        <v>748</v>
      </c>
      <c r="I39" s="96">
        <v>4458</v>
      </c>
      <c r="J39" s="40"/>
    </row>
    <row r="40" spans="1:10" ht="13.5" thickBot="1">
      <c r="A40" s="71" t="s">
        <v>122</v>
      </c>
      <c r="B40" s="72"/>
      <c r="C40" s="106"/>
      <c r="D40" s="107">
        <v>120397.00000000001</v>
      </c>
      <c r="E40" s="107">
        <v>163683</v>
      </c>
      <c r="F40" s="107">
        <v>8257</v>
      </c>
      <c r="G40" s="107">
        <v>1726</v>
      </c>
      <c r="H40" s="107">
        <v>27581</v>
      </c>
      <c r="I40" s="108">
        <v>321644</v>
      </c>
      <c r="J40" s="40"/>
    </row>
    <row r="41" spans="1:10" ht="13.5" thickTop="1">
      <c r="A41" s="49"/>
      <c r="B41" s="40"/>
      <c r="C41" s="49"/>
      <c r="D41" s="97"/>
      <c r="E41" s="97"/>
      <c r="F41" s="97"/>
      <c r="G41" s="97"/>
      <c r="H41" s="97"/>
      <c r="I41" s="97"/>
      <c r="J41" s="40"/>
    </row>
    <row r="42" spans="1:10" ht="14.25">
      <c r="A42" s="40" t="s">
        <v>136</v>
      </c>
      <c r="B42" s="40"/>
      <c r="C42" s="40"/>
      <c r="D42" s="92"/>
      <c r="E42" s="92"/>
      <c r="F42" s="92"/>
      <c r="G42" s="92"/>
      <c r="H42" s="92"/>
      <c r="I42" s="92"/>
      <c r="J42" s="40"/>
    </row>
    <row r="43" spans="1:10" ht="14.25">
      <c r="A43" s="75" t="s">
        <v>137</v>
      </c>
      <c r="B43" s="40"/>
      <c r="C43" s="40"/>
      <c r="D43" s="92"/>
      <c r="E43" s="92"/>
      <c r="F43" s="92"/>
      <c r="G43" s="92"/>
      <c r="H43" s="92"/>
      <c r="I43" s="92"/>
      <c r="J43" s="40"/>
    </row>
    <row r="44" spans="1:10" ht="14.25">
      <c r="A44" s="75" t="s">
        <v>130</v>
      </c>
      <c r="B44" s="40"/>
      <c r="C44" s="40"/>
      <c r="D44" s="92"/>
      <c r="E44" s="92"/>
      <c r="F44" s="92"/>
      <c r="G44" s="92"/>
      <c r="H44" s="92"/>
      <c r="I44" s="92"/>
      <c r="J44" s="40"/>
    </row>
    <row r="45" spans="1:10">
      <c r="A45" s="40" t="s">
        <v>140</v>
      </c>
      <c r="B45" s="40"/>
      <c r="C45" s="40"/>
      <c r="D45" s="92"/>
      <c r="E45" s="92"/>
      <c r="F45" s="92"/>
      <c r="G45" s="92"/>
      <c r="H45" s="92"/>
      <c r="I45" s="92"/>
      <c r="J45" s="40"/>
    </row>
    <row r="46" spans="1:10">
      <c r="A46" s="40"/>
      <c r="B46" s="40"/>
      <c r="C46" s="40"/>
      <c r="D46" s="92"/>
      <c r="E46" s="92"/>
      <c r="F46" s="92"/>
      <c r="G46" s="92"/>
      <c r="H46" s="92"/>
      <c r="I46" s="92"/>
      <c r="J46" s="40"/>
    </row>
  </sheetData>
  <mergeCells count="6">
    <mergeCell ref="I4:I6"/>
    <mergeCell ref="D4:D6"/>
    <mergeCell ref="E4:E6"/>
    <mergeCell ref="F4:F6"/>
    <mergeCell ref="G4:G6"/>
    <mergeCell ref="H4:H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8"/>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1" s="38" customFormat="1" ht="18">
      <c r="A1" s="38" t="s">
        <v>141</v>
      </c>
      <c r="D1" s="91"/>
      <c r="E1" s="91"/>
      <c r="F1" s="91"/>
      <c r="G1" s="91"/>
      <c r="H1" s="91"/>
      <c r="I1" s="91"/>
    </row>
    <row r="2" spans="1:11" s="38" customFormat="1" ht="18">
      <c r="A2" s="38" t="s">
        <v>56</v>
      </c>
      <c r="D2" s="91"/>
      <c r="E2" s="91"/>
      <c r="F2" s="91"/>
      <c r="G2" s="91"/>
      <c r="H2" s="91"/>
      <c r="I2" s="91"/>
    </row>
    <row r="3" spans="1:11" ht="13.5" customHeight="1" thickBot="1"/>
    <row r="4" spans="1:11" s="44" customFormat="1" ht="14.25" thickTop="1" thickBot="1">
      <c r="A4" s="42"/>
      <c r="B4" s="43"/>
      <c r="C4" s="43"/>
      <c r="D4" s="442" t="s">
        <v>58</v>
      </c>
      <c r="E4" s="442" t="s">
        <v>133</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c r="A7" s="56" t="s">
        <v>66</v>
      </c>
      <c r="B7" s="49" t="s">
        <v>67</v>
      </c>
      <c r="C7" s="49"/>
      <c r="D7" s="93">
        <v>2150</v>
      </c>
      <c r="E7" s="93">
        <v>1155</v>
      </c>
      <c r="F7" s="93">
        <v>119</v>
      </c>
      <c r="G7" s="93">
        <v>30</v>
      </c>
      <c r="H7" s="93">
        <v>607</v>
      </c>
      <c r="I7" s="94">
        <v>4061</v>
      </c>
      <c r="K7" s="110"/>
    </row>
    <row r="8" spans="1:11">
      <c r="A8" s="56"/>
      <c r="B8" s="49" t="s">
        <v>68</v>
      </c>
      <c r="C8" s="49"/>
      <c r="D8" s="93">
        <v>63</v>
      </c>
      <c r="E8" s="93">
        <v>1563</v>
      </c>
      <c r="F8" s="93">
        <v>53</v>
      </c>
      <c r="G8" s="93">
        <v>11</v>
      </c>
      <c r="H8" s="93">
        <v>106</v>
      </c>
      <c r="I8" s="94">
        <v>1796</v>
      </c>
      <c r="K8" s="110"/>
    </row>
    <row r="9" spans="1:11" ht="13.9" customHeight="1">
      <c r="A9" s="58"/>
      <c r="B9" s="59" t="s">
        <v>65</v>
      </c>
      <c r="C9" s="59"/>
      <c r="D9" s="95">
        <v>2213</v>
      </c>
      <c r="E9" s="95">
        <v>2718</v>
      </c>
      <c r="F9" s="95">
        <v>172</v>
      </c>
      <c r="G9" s="95">
        <v>41</v>
      </c>
      <c r="H9" s="95">
        <v>713</v>
      </c>
      <c r="I9" s="96">
        <v>5857</v>
      </c>
      <c r="K9" s="110"/>
    </row>
    <row r="10" spans="1:11" ht="14.25">
      <c r="A10" s="56" t="s">
        <v>103</v>
      </c>
      <c r="B10" s="49" t="s">
        <v>142</v>
      </c>
      <c r="C10" s="49"/>
      <c r="D10" s="93">
        <v>2403.9999999999977</v>
      </c>
      <c r="E10" s="93">
        <v>448.00000000000045</v>
      </c>
      <c r="F10" s="93">
        <v>297.99999999999972</v>
      </c>
      <c r="G10" s="93">
        <v>52.999999999999908</v>
      </c>
      <c r="H10" s="93">
        <v>1095.0000000000066</v>
      </c>
      <c r="I10" s="94">
        <v>4298</v>
      </c>
      <c r="K10" s="110"/>
    </row>
    <row r="11" spans="1:11">
      <c r="A11" s="56" t="s">
        <v>104</v>
      </c>
      <c r="B11" s="49" t="s">
        <v>129</v>
      </c>
      <c r="C11" s="49"/>
      <c r="D11" s="93"/>
      <c r="E11" s="93"/>
      <c r="F11" s="93"/>
      <c r="G11" s="93"/>
      <c r="H11" s="93"/>
      <c r="I11" s="94"/>
      <c r="K11" s="110"/>
    </row>
    <row r="12" spans="1:11">
      <c r="A12" s="56"/>
      <c r="B12" s="49" t="s">
        <v>71</v>
      </c>
      <c r="C12" s="49"/>
      <c r="D12" s="93">
        <v>94</v>
      </c>
      <c r="E12" s="93">
        <v>3737</v>
      </c>
      <c r="F12" s="93">
        <v>20</v>
      </c>
      <c r="G12" s="93">
        <v>38</v>
      </c>
      <c r="H12" s="93">
        <v>112</v>
      </c>
      <c r="I12" s="94">
        <v>4001</v>
      </c>
      <c r="K12" s="110"/>
    </row>
    <row r="13" spans="1:11">
      <c r="A13" s="56"/>
      <c r="B13" s="49" t="s">
        <v>69</v>
      </c>
      <c r="C13" s="49"/>
      <c r="D13" s="93">
        <v>35</v>
      </c>
      <c r="E13" s="93">
        <v>30</v>
      </c>
      <c r="F13" s="93" t="s">
        <v>80</v>
      </c>
      <c r="G13" s="93" t="s">
        <v>80</v>
      </c>
      <c r="H13" s="93">
        <v>20</v>
      </c>
      <c r="I13" s="94">
        <v>90</v>
      </c>
      <c r="K13" s="110"/>
    </row>
    <row r="14" spans="1:11">
      <c r="A14" s="56"/>
      <c r="B14" s="49" t="s">
        <v>72</v>
      </c>
      <c r="C14" s="49"/>
      <c r="D14" s="93">
        <v>149</v>
      </c>
      <c r="E14" s="93">
        <v>167</v>
      </c>
      <c r="F14" s="93" t="s">
        <v>79</v>
      </c>
      <c r="G14" s="93" t="s">
        <v>79</v>
      </c>
      <c r="H14" s="93">
        <v>77</v>
      </c>
      <c r="I14" s="94">
        <v>420</v>
      </c>
      <c r="K14" s="110"/>
    </row>
    <row r="15" spans="1:11">
      <c r="A15" s="58"/>
      <c r="B15" s="59" t="s">
        <v>65</v>
      </c>
      <c r="C15" s="59"/>
      <c r="D15" s="95">
        <v>2681.9999999999973</v>
      </c>
      <c r="E15" s="95">
        <v>4382.0000000000055</v>
      </c>
      <c r="F15" s="95">
        <v>342.00000000000074</v>
      </c>
      <c r="G15" s="95">
        <v>98.999999999999815</v>
      </c>
      <c r="H15" s="95">
        <v>1303.9999999999961</v>
      </c>
      <c r="I15" s="96">
        <v>8809</v>
      </c>
      <c r="J15" s="62"/>
      <c r="K15" s="110"/>
    </row>
    <row r="16" spans="1:11">
      <c r="A16" s="56" t="s">
        <v>105</v>
      </c>
      <c r="B16" s="49" t="s">
        <v>67</v>
      </c>
      <c r="C16" s="49"/>
      <c r="D16" s="93">
        <v>52520</v>
      </c>
      <c r="E16" s="93">
        <v>3645</v>
      </c>
      <c r="F16" s="93">
        <v>2897</v>
      </c>
      <c r="G16" s="93">
        <v>529</v>
      </c>
      <c r="H16" s="93">
        <v>11489</v>
      </c>
      <c r="I16" s="94">
        <v>71080</v>
      </c>
    </row>
    <row r="17" spans="1:9">
      <c r="A17" s="56" t="s">
        <v>106</v>
      </c>
      <c r="B17" s="49" t="s">
        <v>129</v>
      </c>
      <c r="C17" s="49"/>
      <c r="D17" s="98"/>
      <c r="E17" s="98"/>
      <c r="F17" s="98"/>
      <c r="G17" s="98"/>
      <c r="H17" s="99"/>
      <c r="I17" s="100"/>
    </row>
    <row r="18" spans="1:9">
      <c r="A18" s="56"/>
      <c r="B18" s="49" t="s">
        <v>71</v>
      </c>
      <c r="C18" s="49"/>
      <c r="D18" s="93">
        <v>761</v>
      </c>
      <c r="E18" s="93">
        <v>71399</v>
      </c>
      <c r="F18" s="93">
        <v>228</v>
      </c>
      <c r="G18" s="93">
        <v>232</v>
      </c>
      <c r="H18" s="93">
        <v>747</v>
      </c>
      <c r="I18" s="94">
        <v>73367</v>
      </c>
    </row>
    <row r="19" spans="1:9">
      <c r="A19" s="56"/>
      <c r="B19" s="49" t="s">
        <v>69</v>
      </c>
      <c r="C19" s="49"/>
      <c r="D19" s="93">
        <v>1394</v>
      </c>
      <c r="E19" s="93">
        <v>763</v>
      </c>
      <c r="F19" s="93">
        <v>168</v>
      </c>
      <c r="G19" s="93">
        <v>33</v>
      </c>
      <c r="H19" s="93">
        <v>572</v>
      </c>
      <c r="I19" s="94">
        <v>2930</v>
      </c>
    </row>
    <row r="20" spans="1:9">
      <c r="A20" s="56"/>
      <c r="B20" s="49" t="s">
        <v>72</v>
      </c>
      <c r="C20" s="49"/>
      <c r="D20" s="93">
        <v>1826</v>
      </c>
      <c r="E20" s="93">
        <v>2211</v>
      </c>
      <c r="F20" s="93">
        <v>273</v>
      </c>
      <c r="G20" s="93">
        <v>57</v>
      </c>
      <c r="H20" s="93">
        <v>808</v>
      </c>
      <c r="I20" s="94">
        <v>5175</v>
      </c>
    </row>
    <row r="21" spans="1:9">
      <c r="A21" s="58"/>
      <c r="B21" s="59" t="s">
        <v>65</v>
      </c>
      <c r="C21" s="59"/>
      <c r="D21" s="95">
        <v>56501</v>
      </c>
      <c r="E21" s="95">
        <v>78018</v>
      </c>
      <c r="F21" s="95">
        <v>3566</v>
      </c>
      <c r="G21" s="95">
        <v>851</v>
      </c>
      <c r="H21" s="95">
        <v>13616</v>
      </c>
      <c r="I21" s="96">
        <v>152552</v>
      </c>
    </row>
    <row r="22" spans="1:9">
      <c r="A22" s="56" t="s">
        <v>107</v>
      </c>
      <c r="B22" s="49" t="s">
        <v>67</v>
      </c>
      <c r="C22" s="49"/>
      <c r="D22" s="93">
        <v>233</v>
      </c>
      <c r="E22" s="93">
        <v>29</v>
      </c>
      <c r="F22" s="93" t="s">
        <v>79</v>
      </c>
      <c r="G22" s="93" t="s">
        <v>80</v>
      </c>
      <c r="H22" s="93">
        <v>52</v>
      </c>
      <c r="I22" s="94">
        <v>336</v>
      </c>
    </row>
    <row r="23" spans="1:9">
      <c r="A23" s="56" t="s">
        <v>106</v>
      </c>
      <c r="B23" s="49" t="s">
        <v>81</v>
      </c>
      <c r="C23" s="49" t="s">
        <v>124</v>
      </c>
      <c r="D23" s="101">
        <v>0</v>
      </c>
      <c r="E23" s="102">
        <v>0</v>
      </c>
      <c r="F23" s="103">
        <v>0</v>
      </c>
      <c r="G23" s="102">
        <v>0</v>
      </c>
      <c r="H23" s="104">
        <v>0</v>
      </c>
      <c r="I23" s="105">
        <v>0</v>
      </c>
    </row>
    <row r="24" spans="1:9">
      <c r="A24" s="56"/>
      <c r="B24" s="49"/>
      <c r="C24" s="49" t="s">
        <v>125</v>
      </c>
      <c r="D24" s="93">
        <v>1030</v>
      </c>
      <c r="E24" s="93">
        <v>206</v>
      </c>
      <c r="F24" s="93" t="s">
        <v>79</v>
      </c>
      <c r="G24" s="93" t="s">
        <v>79</v>
      </c>
      <c r="H24" s="93">
        <v>594</v>
      </c>
      <c r="I24" s="94">
        <v>1999</v>
      </c>
    </row>
    <row r="25" spans="1:9">
      <c r="A25" s="58"/>
      <c r="B25" s="59" t="s">
        <v>65</v>
      </c>
      <c r="C25" s="59"/>
      <c r="D25" s="95">
        <v>1263</v>
      </c>
      <c r="E25" s="95">
        <v>235</v>
      </c>
      <c r="F25" s="95">
        <v>155</v>
      </c>
      <c r="G25" s="95">
        <v>36</v>
      </c>
      <c r="H25" s="95">
        <v>646</v>
      </c>
      <c r="I25" s="96">
        <v>2335</v>
      </c>
    </row>
    <row r="26" spans="1:9">
      <c r="A26" s="56" t="s">
        <v>108</v>
      </c>
      <c r="B26" s="49" t="s">
        <v>67</v>
      </c>
      <c r="C26" s="49"/>
      <c r="D26" s="93">
        <v>26161</v>
      </c>
      <c r="E26" s="93">
        <v>563</v>
      </c>
      <c r="F26" s="93">
        <v>1067</v>
      </c>
      <c r="G26" s="93">
        <v>106</v>
      </c>
      <c r="H26" s="93">
        <v>3804</v>
      </c>
      <c r="I26" s="94">
        <v>31701</v>
      </c>
    </row>
    <row r="27" spans="1:9">
      <c r="A27" s="56" t="s">
        <v>109</v>
      </c>
      <c r="B27" s="49" t="s">
        <v>129</v>
      </c>
      <c r="C27" s="49"/>
      <c r="D27" s="93"/>
      <c r="E27" s="93"/>
      <c r="F27" s="93"/>
      <c r="G27" s="93"/>
      <c r="H27" s="93"/>
      <c r="I27" s="94"/>
    </row>
    <row r="28" spans="1:9">
      <c r="A28" s="56" t="s">
        <v>110</v>
      </c>
      <c r="B28" s="49" t="s">
        <v>71</v>
      </c>
      <c r="C28" s="49"/>
      <c r="D28" s="93">
        <v>240</v>
      </c>
      <c r="E28" s="93">
        <v>40923</v>
      </c>
      <c r="F28" s="93">
        <v>70</v>
      </c>
      <c r="G28" s="93">
        <v>57</v>
      </c>
      <c r="H28" s="93">
        <v>225</v>
      </c>
      <c r="I28" s="94">
        <v>41515</v>
      </c>
    </row>
    <row r="29" spans="1:9">
      <c r="A29" s="56"/>
      <c r="B29" s="49" t="s">
        <v>69</v>
      </c>
      <c r="C29" s="49"/>
      <c r="D29" s="93">
        <v>1798</v>
      </c>
      <c r="E29" s="93">
        <v>474</v>
      </c>
      <c r="F29" s="93">
        <v>79</v>
      </c>
      <c r="G29" s="93">
        <v>16</v>
      </c>
      <c r="H29" s="93">
        <v>387</v>
      </c>
      <c r="I29" s="94">
        <v>2754</v>
      </c>
    </row>
    <row r="30" spans="1:9">
      <c r="A30" s="56"/>
      <c r="B30" s="49" t="s">
        <v>72</v>
      </c>
      <c r="C30" s="49"/>
      <c r="D30" s="93">
        <v>3873</v>
      </c>
      <c r="E30" s="93">
        <v>4021</v>
      </c>
      <c r="F30" s="93">
        <v>464</v>
      </c>
      <c r="G30" s="93">
        <v>81</v>
      </c>
      <c r="H30" s="93">
        <v>906</v>
      </c>
      <c r="I30" s="94">
        <v>9345</v>
      </c>
    </row>
    <row r="31" spans="1:9">
      <c r="A31" s="58"/>
      <c r="B31" s="59" t="s">
        <v>65</v>
      </c>
      <c r="C31" s="59"/>
      <c r="D31" s="95">
        <v>32072</v>
      </c>
      <c r="E31" s="95">
        <v>45981</v>
      </c>
      <c r="F31" s="95">
        <v>1680</v>
      </c>
      <c r="G31" s="95">
        <v>260</v>
      </c>
      <c r="H31" s="95">
        <v>5322</v>
      </c>
      <c r="I31" s="96">
        <v>85315</v>
      </c>
    </row>
    <row r="32" spans="1:9">
      <c r="A32" s="56" t="s">
        <v>111</v>
      </c>
      <c r="B32" s="49" t="s">
        <v>67</v>
      </c>
      <c r="C32" s="49"/>
      <c r="D32" s="93">
        <v>11412</v>
      </c>
      <c r="E32" s="93">
        <v>1035</v>
      </c>
      <c r="F32" s="93">
        <v>876</v>
      </c>
      <c r="G32" s="93">
        <v>69</v>
      </c>
      <c r="H32" s="93">
        <v>1493</v>
      </c>
      <c r="I32" s="94">
        <v>14885</v>
      </c>
    </row>
    <row r="33" spans="1:10">
      <c r="A33" s="56" t="s">
        <v>112</v>
      </c>
      <c r="B33" s="49" t="s">
        <v>81</v>
      </c>
      <c r="C33" s="49" t="s">
        <v>124</v>
      </c>
      <c r="D33" s="93">
        <v>253</v>
      </c>
      <c r="E33" s="93">
        <v>27051</v>
      </c>
      <c r="F33" s="93">
        <v>96</v>
      </c>
      <c r="G33" s="93">
        <v>54</v>
      </c>
      <c r="H33" s="93">
        <v>91</v>
      </c>
      <c r="I33" s="94">
        <v>27545</v>
      </c>
    </row>
    <row r="34" spans="1:10">
      <c r="A34" s="56"/>
      <c r="B34" s="49"/>
      <c r="C34" s="49" t="s">
        <v>125</v>
      </c>
      <c r="D34" s="93">
        <v>13108</v>
      </c>
      <c r="E34" s="93">
        <v>2072</v>
      </c>
      <c r="F34" s="93">
        <v>1167</v>
      </c>
      <c r="G34" s="93">
        <v>185</v>
      </c>
      <c r="H34" s="93">
        <v>3482</v>
      </c>
      <c r="I34" s="94">
        <v>20014</v>
      </c>
    </row>
    <row r="35" spans="1:10">
      <c r="A35" s="58"/>
      <c r="B35" s="59" t="s">
        <v>65</v>
      </c>
      <c r="C35" s="59"/>
      <c r="D35" s="95">
        <v>24773</v>
      </c>
      <c r="E35" s="95">
        <v>30158</v>
      </c>
      <c r="F35" s="95">
        <v>2139</v>
      </c>
      <c r="G35" s="95">
        <v>308</v>
      </c>
      <c r="H35" s="95">
        <v>5066</v>
      </c>
      <c r="I35" s="96">
        <v>62444</v>
      </c>
    </row>
    <row r="36" spans="1:10">
      <c r="A36" s="56" t="s">
        <v>86</v>
      </c>
      <c r="B36" s="49" t="s">
        <v>67</v>
      </c>
      <c r="C36" s="49"/>
      <c r="D36" s="93">
        <v>1682</v>
      </c>
      <c r="E36" s="93">
        <v>1671</v>
      </c>
      <c r="F36" s="93">
        <v>87</v>
      </c>
      <c r="G36" s="93" t="s">
        <v>79</v>
      </c>
      <c r="H36" s="93" t="s">
        <v>79</v>
      </c>
      <c r="I36" s="94">
        <v>4212</v>
      </c>
    </row>
    <row r="37" spans="1:10">
      <c r="A37" s="56"/>
      <c r="B37" s="49" t="s">
        <v>129</v>
      </c>
      <c r="C37" s="49"/>
      <c r="D37" s="93"/>
      <c r="E37" s="93"/>
      <c r="F37" s="93"/>
      <c r="G37" s="93"/>
      <c r="H37" s="93"/>
      <c r="I37" s="94"/>
    </row>
    <row r="38" spans="1:10">
      <c r="A38" s="56"/>
      <c r="B38" s="49" t="s">
        <v>71</v>
      </c>
      <c r="C38" s="49"/>
      <c r="D38" s="93">
        <v>24</v>
      </c>
      <c r="E38" s="93">
        <v>199</v>
      </c>
      <c r="F38" s="93">
        <v>0</v>
      </c>
      <c r="G38" s="93" t="s">
        <v>80</v>
      </c>
      <c r="H38" s="93" t="s">
        <v>79</v>
      </c>
      <c r="I38" s="94">
        <v>231</v>
      </c>
    </row>
    <row r="39" spans="1:10">
      <c r="A39" s="58"/>
      <c r="B39" s="59" t="s">
        <v>65</v>
      </c>
      <c r="C39" s="59"/>
      <c r="D39" s="95">
        <v>1706</v>
      </c>
      <c r="E39" s="95">
        <v>1870</v>
      </c>
      <c r="F39" s="95">
        <v>87</v>
      </c>
      <c r="G39" s="95">
        <v>20</v>
      </c>
      <c r="H39" s="95">
        <v>760</v>
      </c>
      <c r="I39" s="96">
        <v>4443</v>
      </c>
    </row>
    <row r="40" spans="1:10" ht="28.5" customHeight="1" thickBot="1">
      <c r="A40" s="71" t="s">
        <v>122</v>
      </c>
      <c r="B40" s="72"/>
      <c r="C40" s="106"/>
      <c r="D40" s="107">
        <v>121210</v>
      </c>
      <c r="E40" s="107">
        <v>163362</v>
      </c>
      <c r="F40" s="107">
        <v>8141.0000000000009</v>
      </c>
      <c r="G40" s="107">
        <v>1614.9999999999998</v>
      </c>
      <c r="H40" s="107">
        <v>27426.999999999996</v>
      </c>
      <c r="I40" s="108">
        <v>321755</v>
      </c>
    </row>
    <row r="41" spans="1:10" ht="13.5" thickTop="1">
      <c r="A41" s="49"/>
      <c r="C41" s="49"/>
      <c r="D41" s="97"/>
      <c r="E41" s="97"/>
      <c r="F41" s="97"/>
      <c r="G41" s="97"/>
      <c r="H41" s="97"/>
      <c r="I41" s="97"/>
    </row>
    <row r="42" spans="1:10" ht="14.25">
      <c r="A42" s="40" t="s">
        <v>136</v>
      </c>
    </row>
    <row r="43" spans="1:10" ht="14.25">
      <c r="A43" s="75" t="s">
        <v>137</v>
      </c>
    </row>
    <row r="44" spans="1:10" ht="14.25">
      <c r="A44" s="75" t="s">
        <v>130</v>
      </c>
    </row>
    <row r="45" spans="1:10" ht="14.25">
      <c r="A45" s="40" t="s">
        <v>143</v>
      </c>
    </row>
    <row r="48" spans="1:10">
      <c r="J48" s="92"/>
    </row>
  </sheetData>
  <mergeCells count="6">
    <mergeCell ref="I4:I6"/>
    <mergeCell ref="D4:D6"/>
    <mergeCell ref="E4:E6"/>
    <mergeCell ref="F4:F6"/>
    <mergeCell ref="G4:G6"/>
    <mergeCell ref="H4:H6"/>
  </mergeCells>
  <pageMargins left="0.75000000000000011" right="0.75000000000000011"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8"/>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1" s="38" customFormat="1" ht="18">
      <c r="A1" s="38" t="s">
        <v>144</v>
      </c>
      <c r="D1" s="91"/>
      <c r="E1" s="91"/>
      <c r="F1" s="91"/>
      <c r="G1" s="91"/>
      <c r="H1" s="91"/>
      <c r="I1" s="91"/>
    </row>
    <row r="2" spans="1:11" s="38" customFormat="1" ht="18">
      <c r="A2" s="38" t="s">
        <v>56</v>
      </c>
      <c r="D2" s="91"/>
      <c r="E2" s="91"/>
      <c r="F2" s="91"/>
      <c r="G2" s="91"/>
      <c r="H2" s="91"/>
      <c r="I2" s="91"/>
    </row>
    <row r="3" spans="1:11" ht="13.5" customHeight="1" thickBot="1"/>
    <row r="4" spans="1:11" s="44" customFormat="1" ht="14.25" thickTop="1" thickBot="1">
      <c r="A4" s="42"/>
      <c r="B4" s="43"/>
      <c r="C4" s="43"/>
      <c r="D4" s="442" t="s">
        <v>58</v>
      </c>
      <c r="E4" s="442" t="s">
        <v>133</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c r="A7" s="56" t="s">
        <v>66</v>
      </c>
      <c r="B7" s="49" t="s">
        <v>67</v>
      </c>
      <c r="C7" s="49"/>
      <c r="D7" s="93">
        <v>2264</v>
      </c>
      <c r="E7" s="93">
        <v>1012</v>
      </c>
      <c r="F7" s="93" t="s">
        <v>79</v>
      </c>
      <c r="G7" s="93">
        <v>27</v>
      </c>
      <c r="H7" s="93">
        <v>616</v>
      </c>
      <c r="I7" s="94">
        <v>4065</v>
      </c>
    </row>
    <row r="8" spans="1:11">
      <c r="A8" s="56"/>
      <c r="B8" s="49" t="s">
        <v>68</v>
      </c>
      <c r="C8" s="49"/>
      <c r="D8" s="93">
        <v>50</v>
      </c>
      <c r="E8" s="93">
        <v>1543</v>
      </c>
      <c r="F8" s="93" t="s">
        <v>80</v>
      </c>
      <c r="G8" s="93">
        <v>14</v>
      </c>
      <c r="H8" s="93">
        <v>193</v>
      </c>
      <c r="I8" s="94">
        <v>1804</v>
      </c>
    </row>
    <row r="9" spans="1:11">
      <c r="A9" s="58"/>
      <c r="B9" s="59" t="s">
        <v>65</v>
      </c>
      <c r="C9" s="59"/>
      <c r="D9" s="95">
        <v>2314</v>
      </c>
      <c r="E9" s="95">
        <v>2555</v>
      </c>
      <c r="F9" s="95">
        <v>150</v>
      </c>
      <c r="G9" s="95">
        <v>41</v>
      </c>
      <c r="H9" s="95">
        <v>809</v>
      </c>
      <c r="I9" s="96">
        <v>5869</v>
      </c>
      <c r="K9" s="111"/>
    </row>
    <row r="10" spans="1:11" ht="14.25">
      <c r="A10" s="56" t="s">
        <v>103</v>
      </c>
      <c r="B10" s="49" t="s">
        <v>142</v>
      </c>
      <c r="C10" s="49"/>
      <c r="D10" s="93">
        <v>2341.0000000000086</v>
      </c>
      <c r="E10" s="93">
        <v>512.00000000000057</v>
      </c>
      <c r="F10" s="93">
        <v>248.00000000000023</v>
      </c>
      <c r="G10" s="93">
        <v>38.000000000000135</v>
      </c>
      <c r="H10" s="93">
        <v>1187.9999999999986</v>
      </c>
      <c r="I10" s="94">
        <v>4327</v>
      </c>
      <c r="K10" s="111"/>
    </row>
    <row r="11" spans="1:11" ht="13.9" customHeight="1">
      <c r="A11" s="56" t="s">
        <v>104</v>
      </c>
      <c r="B11" s="49" t="s">
        <v>129</v>
      </c>
      <c r="C11" s="49"/>
      <c r="D11" s="93"/>
      <c r="E11" s="93"/>
      <c r="F11" s="93"/>
      <c r="G11" s="93"/>
      <c r="H11" s="93"/>
      <c r="I11" s="94">
        <v>0</v>
      </c>
      <c r="K11" s="111"/>
    </row>
    <row r="12" spans="1:11">
      <c r="A12" s="56"/>
      <c r="B12" s="49" t="s">
        <v>71</v>
      </c>
      <c r="C12" s="49"/>
      <c r="D12" s="93">
        <v>105</v>
      </c>
      <c r="E12" s="93">
        <v>3748</v>
      </c>
      <c r="F12" s="93">
        <v>18</v>
      </c>
      <c r="G12" s="93" t="s">
        <v>79</v>
      </c>
      <c r="H12" s="93" t="s">
        <v>79</v>
      </c>
      <c r="I12" s="94">
        <v>3984</v>
      </c>
      <c r="K12" s="111"/>
    </row>
    <row r="13" spans="1:11">
      <c r="A13" s="56"/>
      <c r="B13" s="49" t="s">
        <v>69</v>
      </c>
      <c r="C13" s="49"/>
      <c r="D13" s="93">
        <v>17</v>
      </c>
      <c r="E13" s="93">
        <v>39</v>
      </c>
      <c r="F13" s="93" t="s">
        <v>80</v>
      </c>
      <c r="G13" s="93" t="s">
        <v>80</v>
      </c>
      <c r="H13" s="93" t="s">
        <v>79</v>
      </c>
      <c r="I13" s="94">
        <v>73</v>
      </c>
      <c r="K13" s="111"/>
    </row>
    <row r="14" spans="1:11">
      <c r="A14" s="56"/>
      <c r="B14" s="49" t="s">
        <v>72</v>
      </c>
      <c r="C14" s="49"/>
      <c r="D14" s="93">
        <v>156</v>
      </c>
      <c r="E14" s="93">
        <v>162</v>
      </c>
      <c r="F14" s="93" t="s">
        <v>79</v>
      </c>
      <c r="G14" s="93" t="s">
        <v>80</v>
      </c>
      <c r="H14" s="93">
        <v>68</v>
      </c>
      <c r="I14" s="94">
        <v>419</v>
      </c>
      <c r="K14" s="111"/>
    </row>
    <row r="15" spans="1:11">
      <c r="A15" s="58"/>
      <c r="B15" s="59" t="s">
        <v>65</v>
      </c>
      <c r="C15" s="59"/>
      <c r="D15" s="95">
        <v>2619.0000000000005</v>
      </c>
      <c r="E15" s="95">
        <v>4460.9999999999945</v>
      </c>
      <c r="F15" s="95">
        <v>298.00000000000102</v>
      </c>
      <c r="G15" s="95">
        <v>71.999999999999716</v>
      </c>
      <c r="H15" s="95">
        <v>1353.0000000000011</v>
      </c>
      <c r="I15" s="96">
        <v>8803</v>
      </c>
      <c r="J15" s="62"/>
      <c r="K15" s="111"/>
    </row>
    <row r="16" spans="1:11">
      <c r="A16" s="56" t="s">
        <v>105</v>
      </c>
      <c r="B16" s="49" t="s">
        <v>67</v>
      </c>
      <c r="C16" s="49"/>
      <c r="D16" s="93">
        <v>53903</v>
      </c>
      <c r="E16" s="93">
        <v>3605</v>
      </c>
      <c r="F16" s="93">
        <v>2806</v>
      </c>
      <c r="G16" s="93">
        <v>497</v>
      </c>
      <c r="H16" s="93">
        <v>11194</v>
      </c>
      <c r="I16" s="94">
        <v>72005</v>
      </c>
      <c r="K16" s="111"/>
    </row>
    <row r="17" spans="1:11">
      <c r="A17" s="56" t="s">
        <v>106</v>
      </c>
      <c r="B17" s="49" t="s">
        <v>129</v>
      </c>
      <c r="C17" s="49"/>
      <c r="D17" s="98"/>
      <c r="E17" s="98"/>
      <c r="F17" s="98"/>
      <c r="G17" s="98"/>
      <c r="H17" s="99"/>
      <c r="I17" s="100"/>
      <c r="K17" s="111"/>
    </row>
    <row r="18" spans="1:11">
      <c r="A18" s="56"/>
      <c r="B18" s="49" t="s">
        <v>71</v>
      </c>
      <c r="C18" s="49"/>
      <c r="D18" s="93">
        <v>746</v>
      </c>
      <c r="E18" s="93">
        <v>72268</v>
      </c>
      <c r="F18" s="93">
        <v>210</v>
      </c>
      <c r="G18" s="93">
        <v>184</v>
      </c>
      <c r="H18" s="93">
        <v>708</v>
      </c>
      <c r="I18" s="94">
        <v>74116</v>
      </c>
    </row>
    <row r="19" spans="1:11">
      <c r="A19" s="56"/>
      <c r="B19" s="49" t="s">
        <v>69</v>
      </c>
      <c r="C19" s="49"/>
      <c r="D19" s="93">
        <v>1019</v>
      </c>
      <c r="E19" s="93">
        <v>699</v>
      </c>
      <c r="F19" s="93">
        <v>103</v>
      </c>
      <c r="G19" s="93">
        <v>28</v>
      </c>
      <c r="H19" s="93">
        <v>505</v>
      </c>
      <c r="I19" s="94">
        <v>2354</v>
      </c>
    </row>
    <row r="20" spans="1:11">
      <c r="A20" s="56"/>
      <c r="B20" s="49" t="s">
        <v>72</v>
      </c>
      <c r="C20" s="49"/>
      <c r="D20" s="93">
        <v>1764</v>
      </c>
      <c r="E20" s="93">
        <v>2166</v>
      </c>
      <c r="F20" s="93">
        <v>267</v>
      </c>
      <c r="G20" s="93">
        <v>48</v>
      </c>
      <c r="H20" s="93">
        <v>831</v>
      </c>
      <c r="I20" s="94">
        <v>5076</v>
      </c>
    </row>
    <row r="21" spans="1:11">
      <c r="A21" s="58"/>
      <c r="B21" s="59" t="s">
        <v>65</v>
      </c>
      <c r="C21" s="59"/>
      <c r="D21" s="95">
        <v>57432</v>
      </c>
      <c r="E21" s="95">
        <v>78738</v>
      </c>
      <c r="F21" s="95">
        <v>3386</v>
      </c>
      <c r="G21" s="95">
        <v>757</v>
      </c>
      <c r="H21" s="95">
        <v>13238</v>
      </c>
      <c r="I21" s="96">
        <v>153551</v>
      </c>
    </row>
    <row r="22" spans="1:11">
      <c r="A22" s="56" t="s">
        <v>107</v>
      </c>
      <c r="B22" s="49" t="s">
        <v>67</v>
      </c>
      <c r="C22" s="49"/>
      <c r="D22" s="93">
        <v>241</v>
      </c>
      <c r="E22" s="93">
        <v>27</v>
      </c>
      <c r="F22" s="93" t="s">
        <v>79</v>
      </c>
      <c r="G22" s="93" t="s">
        <v>80</v>
      </c>
      <c r="H22" s="93">
        <v>59</v>
      </c>
      <c r="I22" s="94">
        <v>346</v>
      </c>
    </row>
    <row r="23" spans="1:11">
      <c r="A23" s="56" t="s">
        <v>106</v>
      </c>
      <c r="B23" s="49" t="s">
        <v>81</v>
      </c>
      <c r="C23" s="49" t="s">
        <v>124</v>
      </c>
      <c r="D23" s="101">
        <v>0</v>
      </c>
      <c r="E23" s="102">
        <v>0</v>
      </c>
      <c r="F23" s="103">
        <v>0</v>
      </c>
      <c r="G23" s="102">
        <v>0</v>
      </c>
      <c r="H23" s="104">
        <v>0</v>
      </c>
      <c r="I23" s="105">
        <v>0</v>
      </c>
    </row>
    <row r="24" spans="1:11">
      <c r="A24" s="56"/>
      <c r="B24" s="49"/>
      <c r="C24" s="49" t="s">
        <v>125</v>
      </c>
      <c r="D24" s="93">
        <v>1097</v>
      </c>
      <c r="E24" s="93">
        <v>232</v>
      </c>
      <c r="F24" s="93" t="s">
        <v>79</v>
      </c>
      <c r="G24" s="93" t="s">
        <v>79</v>
      </c>
      <c r="H24" s="93">
        <v>595</v>
      </c>
      <c r="I24" s="94">
        <v>2081</v>
      </c>
    </row>
    <row r="25" spans="1:11">
      <c r="A25" s="58"/>
      <c r="B25" s="59" t="s">
        <v>65</v>
      </c>
      <c r="C25" s="59"/>
      <c r="D25" s="95">
        <v>1338</v>
      </c>
      <c r="E25" s="95">
        <v>259</v>
      </c>
      <c r="F25" s="95">
        <v>142</v>
      </c>
      <c r="G25" s="95">
        <v>34</v>
      </c>
      <c r="H25" s="95">
        <v>654</v>
      </c>
      <c r="I25" s="96">
        <v>2427</v>
      </c>
    </row>
    <row r="26" spans="1:11">
      <c r="A26" s="56" t="s">
        <v>108</v>
      </c>
      <c r="B26" s="49" t="s">
        <v>67</v>
      </c>
      <c r="C26" s="49"/>
      <c r="D26" s="93">
        <v>27359</v>
      </c>
      <c r="E26" s="93">
        <v>538</v>
      </c>
      <c r="F26" s="93">
        <v>997</v>
      </c>
      <c r="G26" s="93">
        <v>101</v>
      </c>
      <c r="H26" s="93">
        <v>3771</v>
      </c>
      <c r="I26" s="94">
        <v>32766</v>
      </c>
    </row>
    <row r="27" spans="1:11">
      <c r="A27" s="56" t="s">
        <v>109</v>
      </c>
      <c r="B27" s="49" t="s">
        <v>129</v>
      </c>
      <c r="C27" s="49"/>
      <c r="D27" s="93"/>
      <c r="E27" s="93"/>
      <c r="F27" s="93"/>
      <c r="G27" s="93"/>
      <c r="H27" s="93"/>
      <c r="I27" s="94"/>
    </row>
    <row r="28" spans="1:11">
      <c r="A28" s="56" t="s">
        <v>110</v>
      </c>
      <c r="B28" s="49" t="s">
        <v>71</v>
      </c>
      <c r="C28" s="49"/>
      <c r="D28" s="93">
        <v>239</v>
      </c>
      <c r="E28" s="93">
        <v>40777</v>
      </c>
      <c r="F28" s="93">
        <v>64</v>
      </c>
      <c r="G28" s="93">
        <v>56</v>
      </c>
      <c r="H28" s="93">
        <v>210</v>
      </c>
      <c r="I28" s="94">
        <v>41346</v>
      </c>
    </row>
    <row r="29" spans="1:11">
      <c r="A29" s="56"/>
      <c r="B29" s="49" t="s">
        <v>69</v>
      </c>
      <c r="C29" s="49"/>
      <c r="D29" s="93">
        <v>1227</v>
      </c>
      <c r="E29" s="93">
        <v>472</v>
      </c>
      <c r="F29" s="93">
        <v>60</v>
      </c>
      <c r="G29" s="93">
        <v>16</v>
      </c>
      <c r="H29" s="93">
        <v>320</v>
      </c>
      <c r="I29" s="94">
        <v>2095</v>
      </c>
    </row>
    <row r="30" spans="1:11">
      <c r="A30" s="56"/>
      <c r="B30" s="49" t="s">
        <v>72</v>
      </c>
      <c r="C30" s="49"/>
      <c r="D30" s="93">
        <v>3822</v>
      </c>
      <c r="E30" s="93">
        <v>4125</v>
      </c>
      <c r="F30" s="93">
        <v>471</v>
      </c>
      <c r="G30" s="93">
        <v>84</v>
      </c>
      <c r="H30" s="93">
        <v>867</v>
      </c>
      <c r="I30" s="94">
        <v>9369</v>
      </c>
    </row>
    <row r="31" spans="1:11">
      <c r="A31" s="58"/>
      <c r="B31" s="59" t="s">
        <v>65</v>
      </c>
      <c r="C31" s="59"/>
      <c r="D31" s="95">
        <v>32647</v>
      </c>
      <c r="E31" s="95">
        <v>45912</v>
      </c>
      <c r="F31" s="95">
        <v>1592</v>
      </c>
      <c r="G31" s="95">
        <v>257</v>
      </c>
      <c r="H31" s="95">
        <v>5168</v>
      </c>
      <c r="I31" s="96">
        <v>85576</v>
      </c>
    </row>
    <row r="32" spans="1:11">
      <c r="A32" s="56" t="s">
        <v>111</v>
      </c>
      <c r="B32" s="49" t="s">
        <v>67</v>
      </c>
      <c r="C32" s="49"/>
      <c r="D32" s="93">
        <v>11359</v>
      </c>
      <c r="E32" s="93">
        <v>1025</v>
      </c>
      <c r="F32" s="93">
        <v>883</v>
      </c>
      <c r="G32" s="93">
        <v>58</v>
      </c>
      <c r="H32" s="93">
        <v>1588</v>
      </c>
      <c r="I32" s="94">
        <v>14913</v>
      </c>
    </row>
    <row r="33" spans="1:10">
      <c r="A33" s="56" t="s">
        <v>112</v>
      </c>
      <c r="B33" s="49" t="s">
        <v>81</v>
      </c>
      <c r="C33" s="49" t="s">
        <v>124</v>
      </c>
      <c r="D33" s="93">
        <v>237</v>
      </c>
      <c r="E33" s="93">
        <v>27016</v>
      </c>
      <c r="F33" s="93">
        <v>82</v>
      </c>
      <c r="G33" s="93">
        <v>44</v>
      </c>
      <c r="H33" s="93">
        <v>100</v>
      </c>
      <c r="I33" s="94">
        <v>27479</v>
      </c>
    </row>
    <row r="34" spans="1:10">
      <c r="A34" s="56"/>
      <c r="B34" s="49"/>
      <c r="C34" s="49" t="s">
        <v>125</v>
      </c>
      <c r="D34" s="93">
        <v>13424</v>
      </c>
      <c r="E34" s="93">
        <v>2015</v>
      </c>
      <c r="F34" s="93">
        <v>1098</v>
      </c>
      <c r="G34" s="93">
        <v>166</v>
      </c>
      <c r="H34" s="93">
        <v>3315</v>
      </c>
      <c r="I34" s="94">
        <v>20018</v>
      </c>
    </row>
    <row r="35" spans="1:10">
      <c r="A35" s="58"/>
      <c r="B35" s="59" t="s">
        <v>65</v>
      </c>
      <c r="C35" s="59"/>
      <c r="D35" s="95">
        <v>25020</v>
      </c>
      <c r="E35" s="95">
        <v>30056</v>
      </c>
      <c r="F35" s="95">
        <v>2063</v>
      </c>
      <c r="G35" s="95">
        <v>268</v>
      </c>
      <c r="H35" s="95">
        <v>5003</v>
      </c>
      <c r="I35" s="96">
        <v>62410</v>
      </c>
    </row>
    <row r="36" spans="1:10">
      <c r="A36" s="56" t="s">
        <v>86</v>
      </c>
      <c r="B36" s="49" t="s">
        <v>67</v>
      </c>
      <c r="C36" s="49"/>
      <c r="D36" s="93">
        <v>1737</v>
      </c>
      <c r="E36" s="93">
        <v>1710</v>
      </c>
      <c r="F36" s="93" t="s">
        <v>79</v>
      </c>
      <c r="G36" s="93" t="s">
        <v>79</v>
      </c>
      <c r="H36" s="93">
        <v>756</v>
      </c>
      <c r="I36" s="94">
        <v>4308</v>
      </c>
    </row>
    <row r="37" spans="1:10">
      <c r="A37" s="56"/>
      <c r="B37" s="49" t="s">
        <v>129</v>
      </c>
      <c r="C37" s="49"/>
      <c r="D37" s="93"/>
      <c r="E37" s="93"/>
      <c r="F37" s="93"/>
      <c r="G37" s="93"/>
      <c r="H37" s="93"/>
      <c r="I37" s="94"/>
    </row>
    <row r="38" spans="1:10">
      <c r="A38" s="56"/>
      <c r="B38" s="49" t="s">
        <v>71</v>
      </c>
      <c r="C38" s="49"/>
      <c r="D38" s="93">
        <v>25</v>
      </c>
      <c r="E38" s="93">
        <v>256</v>
      </c>
      <c r="F38" s="93" t="s">
        <v>80</v>
      </c>
      <c r="G38" s="93" t="s">
        <v>80</v>
      </c>
      <c r="H38" s="93">
        <v>6</v>
      </c>
      <c r="I38" s="94">
        <v>290</v>
      </c>
    </row>
    <row r="39" spans="1:10">
      <c r="A39" s="58"/>
      <c r="B39" s="59" t="s">
        <v>65</v>
      </c>
      <c r="C39" s="59"/>
      <c r="D39" s="95">
        <v>1762</v>
      </c>
      <c r="E39" s="95">
        <v>1966</v>
      </c>
      <c r="F39" s="95">
        <v>89</v>
      </c>
      <c r="G39" s="95">
        <v>19</v>
      </c>
      <c r="H39" s="95">
        <v>762</v>
      </c>
      <c r="I39" s="96">
        <v>4598</v>
      </c>
    </row>
    <row r="40" spans="1:10" ht="28.5" customHeight="1" thickBot="1">
      <c r="A40" s="71" t="s">
        <v>122</v>
      </c>
      <c r="B40" s="72"/>
      <c r="C40" s="106"/>
      <c r="D40" s="107">
        <v>123132</v>
      </c>
      <c r="E40" s="107">
        <v>163947</v>
      </c>
      <c r="F40" s="107">
        <v>7720.0000000000009</v>
      </c>
      <c r="G40" s="107">
        <v>1447.9999999999998</v>
      </c>
      <c r="H40" s="107">
        <v>26987</v>
      </c>
      <c r="I40" s="108">
        <v>323234</v>
      </c>
    </row>
    <row r="41" spans="1:10" ht="13.5" thickTop="1">
      <c r="A41" s="49"/>
      <c r="C41" s="49"/>
      <c r="D41" s="97"/>
      <c r="E41" s="97"/>
      <c r="F41" s="97"/>
      <c r="G41" s="97"/>
      <c r="H41" s="97"/>
      <c r="I41" s="97"/>
    </row>
    <row r="42" spans="1:10">
      <c r="A42" s="40" t="s">
        <v>90</v>
      </c>
    </row>
    <row r="43" spans="1:10" ht="14.25">
      <c r="A43" s="75" t="s">
        <v>145</v>
      </c>
    </row>
    <row r="44" spans="1:10" ht="14.25">
      <c r="A44" s="75" t="s">
        <v>130</v>
      </c>
    </row>
    <row r="45" spans="1:10" ht="14.25">
      <c r="A45" s="40" t="s">
        <v>138</v>
      </c>
    </row>
    <row r="48" spans="1:10">
      <c r="J48" s="92"/>
    </row>
  </sheetData>
  <mergeCells count="6">
    <mergeCell ref="I4:I6"/>
    <mergeCell ref="D4:D6"/>
    <mergeCell ref="E4:E6"/>
    <mergeCell ref="F4:F6"/>
    <mergeCell ref="G4:G6"/>
    <mergeCell ref="H4:H6"/>
  </mergeCells>
  <pageMargins left="0.75000000000000011" right="0.75000000000000011"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8"/>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1" s="38" customFormat="1" ht="18">
      <c r="A1" s="38" t="s">
        <v>146</v>
      </c>
      <c r="D1" s="91"/>
      <c r="E1" s="91"/>
      <c r="F1" s="91"/>
      <c r="G1" s="91"/>
      <c r="H1" s="91"/>
      <c r="I1" s="91"/>
    </row>
    <row r="2" spans="1:11" s="38" customFormat="1" ht="18">
      <c r="A2" s="38" t="s">
        <v>56</v>
      </c>
      <c r="D2" s="91"/>
      <c r="E2" s="91"/>
      <c r="F2" s="91"/>
      <c r="G2" s="91"/>
      <c r="H2" s="91"/>
      <c r="I2" s="91"/>
    </row>
    <row r="3" spans="1:11" ht="13.5" customHeight="1" thickBot="1"/>
    <row r="4" spans="1:11" s="44" customFormat="1" ht="14.25" thickTop="1" thickBot="1">
      <c r="A4" s="42"/>
      <c r="B4" s="43"/>
      <c r="C4" s="43"/>
      <c r="D4" s="442" t="s">
        <v>58</v>
      </c>
      <c r="E4" s="442" t="s">
        <v>133</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c r="A7" s="56" t="s">
        <v>66</v>
      </c>
      <c r="B7" s="49" t="s">
        <v>67</v>
      </c>
      <c r="C7" s="49"/>
      <c r="D7" s="93">
        <v>2325</v>
      </c>
      <c r="E7" s="93">
        <v>1067</v>
      </c>
      <c r="F7" s="93">
        <v>119</v>
      </c>
      <c r="G7" s="93">
        <v>36</v>
      </c>
      <c r="H7" s="93">
        <v>511</v>
      </c>
      <c r="I7" s="94">
        <v>4058</v>
      </c>
      <c r="K7" s="112"/>
    </row>
    <row r="8" spans="1:11">
      <c r="A8" s="56"/>
      <c r="B8" s="49" t="s">
        <v>68</v>
      </c>
      <c r="C8" s="49"/>
      <c r="D8" s="93">
        <v>60</v>
      </c>
      <c r="E8" s="93">
        <v>1610</v>
      </c>
      <c r="F8" s="93">
        <v>8</v>
      </c>
      <c r="G8" s="93">
        <v>6</v>
      </c>
      <c r="H8" s="93">
        <v>113</v>
      </c>
      <c r="I8" s="94">
        <v>1797</v>
      </c>
      <c r="K8" s="112"/>
    </row>
    <row r="9" spans="1:11">
      <c r="A9" s="58"/>
      <c r="B9" s="59" t="s">
        <v>65</v>
      </c>
      <c r="C9" s="59"/>
      <c r="D9" s="95">
        <v>2385</v>
      </c>
      <c r="E9" s="95">
        <v>2677</v>
      </c>
      <c r="F9" s="95">
        <v>127</v>
      </c>
      <c r="G9" s="95">
        <v>42</v>
      </c>
      <c r="H9" s="95">
        <v>624</v>
      </c>
      <c r="I9" s="96">
        <v>5855</v>
      </c>
      <c r="K9" s="112"/>
    </row>
    <row r="10" spans="1:11" ht="14.25">
      <c r="A10" s="56" t="s">
        <v>103</v>
      </c>
      <c r="B10" s="49" t="s">
        <v>142</v>
      </c>
      <c r="C10" s="49"/>
      <c r="D10" s="93">
        <v>2511.9999999999959</v>
      </c>
      <c r="E10" s="93">
        <v>484.99999999999943</v>
      </c>
      <c r="F10" s="93">
        <v>192.99999999999974</v>
      </c>
      <c r="G10" s="93">
        <v>37.000000000000028</v>
      </c>
      <c r="H10" s="93">
        <v>1098.0000000000009</v>
      </c>
      <c r="I10" s="94">
        <v>4325</v>
      </c>
      <c r="K10" s="112"/>
    </row>
    <row r="11" spans="1:11">
      <c r="A11" s="56" t="s">
        <v>104</v>
      </c>
      <c r="B11" s="49" t="s">
        <v>129</v>
      </c>
      <c r="C11" s="49"/>
      <c r="D11" s="93"/>
      <c r="E11" s="93"/>
      <c r="F11" s="93"/>
      <c r="G11" s="93"/>
      <c r="H11" s="93"/>
      <c r="I11" s="94">
        <v>0</v>
      </c>
      <c r="K11" s="112"/>
    </row>
    <row r="12" spans="1:11">
      <c r="A12" s="56"/>
      <c r="B12" s="49" t="s">
        <v>71</v>
      </c>
      <c r="C12" s="49"/>
      <c r="D12" s="93">
        <v>114</v>
      </c>
      <c r="E12" s="93">
        <v>3688</v>
      </c>
      <c r="F12" s="93" t="s">
        <v>79</v>
      </c>
      <c r="G12" s="93">
        <v>29</v>
      </c>
      <c r="H12" s="93" t="s">
        <v>79</v>
      </c>
      <c r="I12" s="94">
        <v>3908</v>
      </c>
      <c r="K12" s="112"/>
    </row>
    <row r="13" spans="1:11">
      <c r="A13" s="56"/>
      <c r="B13" s="49" t="s">
        <v>69</v>
      </c>
      <c r="C13" s="49"/>
      <c r="D13" s="93">
        <v>13</v>
      </c>
      <c r="E13" s="93">
        <v>28</v>
      </c>
      <c r="F13" s="93" t="s">
        <v>80</v>
      </c>
      <c r="G13" s="93">
        <v>0</v>
      </c>
      <c r="H13" s="93" t="s">
        <v>79</v>
      </c>
      <c r="I13" s="94">
        <v>50</v>
      </c>
      <c r="K13" s="112"/>
    </row>
    <row r="14" spans="1:11">
      <c r="A14" s="56"/>
      <c r="B14" s="49" t="s">
        <v>72</v>
      </c>
      <c r="C14" s="49"/>
      <c r="D14" s="93">
        <v>130</v>
      </c>
      <c r="E14" s="93">
        <v>148</v>
      </c>
      <c r="F14" s="93">
        <v>29</v>
      </c>
      <c r="G14" s="93">
        <v>7</v>
      </c>
      <c r="H14" s="93">
        <v>79</v>
      </c>
      <c r="I14" s="94">
        <v>393</v>
      </c>
      <c r="K14" s="112"/>
    </row>
    <row r="15" spans="1:11">
      <c r="A15" s="58"/>
      <c r="B15" s="59" t="s">
        <v>65</v>
      </c>
      <c r="C15" s="59"/>
      <c r="D15" s="95">
        <v>2769.0000000000055</v>
      </c>
      <c r="E15" s="95">
        <v>4349.0000000000055</v>
      </c>
      <c r="F15" s="95">
        <v>236.00000000000094</v>
      </c>
      <c r="G15" s="95">
        <v>72.999999999999915</v>
      </c>
      <c r="H15" s="95">
        <v>1248.9999999999955</v>
      </c>
      <c r="I15" s="96">
        <v>8676</v>
      </c>
      <c r="J15" s="62"/>
      <c r="K15" s="112"/>
    </row>
    <row r="16" spans="1:11">
      <c r="A16" s="56" t="s">
        <v>105</v>
      </c>
      <c r="B16" s="49" t="s">
        <v>67</v>
      </c>
      <c r="C16" s="49"/>
      <c r="D16" s="93">
        <v>55881</v>
      </c>
      <c r="E16" s="93">
        <v>3506</v>
      </c>
      <c r="F16" s="93">
        <v>2797</v>
      </c>
      <c r="G16" s="93">
        <v>467</v>
      </c>
      <c r="H16" s="93">
        <v>10796</v>
      </c>
      <c r="I16" s="94">
        <v>73447</v>
      </c>
    </row>
    <row r="17" spans="1:9">
      <c r="A17" s="56" t="s">
        <v>106</v>
      </c>
      <c r="B17" s="49" t="s">
        <v>129</v>
      </c>
      <c r="C17" s="49"/>
      <c r="D17" s="98"/>
      <c r="E17" s="98"/>
      <c r="F17" s="98"/>
      <c r="G17" s="98"/>
      <c r="H17" s="99"/>
      <c r="I17" s="100"/>
    </row>
    <row r="18" spans="1:9">
      <c r="A18" s="56"/>
      <c r="B18" s="49" t="s">
        <v>71</v>
      </c>
      <c r="C18" s="49"/>
      <c r="D18" s="93">
        <v>747</v>
      </c>
      <c r="E18" s="93">
        <v>73248</v>
      </c>
      <c r="F18" s="93">
        <v>197</v>
      </c>
      <c r="G18" s="93">
        <v>159</v>
      </c>
      <c r="H18" s="93">
        <v>525</v>
      </c>
      <c r="I18" s="94">
        <v>74876</v>
      </c>
    </row>
    <row r="19" spans="1:9">
      <c r="A19" s="56"/>
      <c r="B19" s="49" t="s">
        <v>69</v>
      </c>
      <c r="C19" s="49"/>
      <c r="D19" s="93">
        <v>1007</v>
      </c>
      <c r="E19" s="93">
        <v>627</v>
      </c>
      <c r="F19" s="93">
        <v>94</v>
      </c>
      <c r="G19" s="93">
        <v>31</v>
      </c>
      <c r="H19" s="93">
        <v>450</v>
      </c>
      <c r="I19" s="94">
        <v>2209</v>
      </c>
    </row>
    <row r="20" spans="1:9">
      <c r="A20" s="56"/>
      <c r="B20" s="49" t="s">
        <v>72</v>
      </c>
      <c r="C20" s="49"/>
      <c r="D20" s="93">
        <v>1732</v>
      </c>
      <c r="E20" s="93">
        <v>2109</v>
      </c>
      <c r="F20" s="93">
        <v>271</v>
      </c>
      <c r="G20" s="93">
        <v>50</v>
      </c>
      <c r="H20" s="93">
        <v>806</v>
      </c>
      <c r="I20" s="94">
        <v>4968</v>
      </c>
    </row>
    <row r="21" spans="1:9">
      <c r="A21" s="58"/>
      <c r="B21" s="59" t="s">
        <v>65</v>
      </c>
      <c r="C21" s="59"/>
      <c r="D21" s="95">
        <v>59367</v>
      </c>
      <c r="E21" s="95">
        <v>79490</v>
      </c>
      <c r="F21" s="95">
        <v>3359</v>
      </c>
      <c r="G21" s="95">
        <v>707</v>
      </c>
      <c r="H21" s="95">
        <v>12577</v>
      </c>
      <c r="I21" s="96">
        <v>155500</v>
      </c>
    </row>
    <row r="22" spans="1:9">
      <c r="A22" s="56" t="s">
        <v>107</v>
      </c>
      <c r="B22" s="49" t="s">
        <v>67</v>
      </c>
      <c r="C22" s="49"/>
      <c r="D22" s="93">
        <v>252</v>
      </c>
      <c r="E22" s="93">
        <v>18</v>
      </c>
      <c r="F22" s="93" t="s">
        <v>79</v>
      </c>
      <c r="G22" s="93" t="s">
        <v>80</v>
      </c>
      <c r="H22" s="93">
        <v>48</v>
      </c>
      <c r="I22" s="94">
        <v>336</v>
      </c>
    </row>
    <row r="23" spans="1:9">
      <c r="A23" s="56" t="s">
        <v>106</v>
      </c>
      <c r="B23" s="49" t="s">
        <v>81</v>
      </c>
      <c r="C23" s="49" t="s">
        <v>124</v>
      </c>
      <c r="D23" s="101">
        <v>0</v>
      </c>
      <c r="E23" s="102">
        <v>0</v>
      </c>
      <c r="F23" s="103">
        <v>0</v>
      </c>
      <c r="G23" s="102">
        <v>0</v>
      </c>
      <c r="H23" s="104">
        <v>0</v>
      </c>
      <c r="I23" s="105">
        <v>0</v>
      </c>
    </row>
    <row r="24" spans="1:9">
      <c r="A24" s="56"/>
      <c r="B24" s="49"/>
      <c r="C24" s="49" t="s">
        <v>125</v>
      </c>
      <c r="D24" s="93">
        <v>1120</v>
      </c>
      <c r="E24" s="93">
        <v>237</v>
      </c>
      <c r="F24" s="93" t="s">
        <v>79</v>
      </c>
      <c r="G24" s="93" t="s">
        <v>79</v>
      </c>
      <c r="H24" s="93">
        <v>581</v>
      </c>
      <c r="I24" s="94">
        <v>2075</v>
      </c>
    </row>
    <row r="25" spans="1:9">
      <c r="A25" s="58"/>
      <c r="B25" s="59" t="s">
        <v>65</v>
      </c>
      <c r="C25" s="59"/>
      <c r="D25" s="95">
        <v>1372</v>
      </c>
      <c r="E25" s="95">
        <v>255</v>
      </c>
      <c r="F25" s="95">
        <v>118</v>
      </c>
      <c r="G25" s="95">
        <v>37</v>
      </c>
      <c r="H25" s="95">
        <v>629</v>
      </c>
      <c r="I25" s="96">
        <v>2411</v>
      </c>
    </row>
    <row r="26" spans="1:9">
      <c r="A26" s="56" t="s">
        <v>108</v>
      </c>
      <c r="B26" s="49" t="s">
        <v>67</v>
      </c>
      <c r="C26" s="49"/>
      <c r="D26" s="93">
        <v>28098</v>
      </c>
      <c r="E26" s="93">
        <v>503</v>
      </c>
      <c r="F26" s="93">
        <v>967</v>
      </c>
      <c r="G26" s="93">
        <v>82</v>
      </c>
      <c r="H26" s="93">
        <v>3497</v>
      </c>
      <c r="I26" s="94">
        <v>33147</v>
      </c>
    </row>
    <row r="27" spans="1:9">
      <c r="A27" s="56" t="s">
        <v>109</v>
      </c>
      <c r="B27" s="49" t="s">
        <v>129</v>
      </c>
      <c r="C27" s="49"/>
      <c r="D27" s="93"/>
      <c r="E27" s="93"/>
      <c r="F27" s="93"/>
      <c r="G27" s="93"/>
      <c r="H27" s="93"/>
      <c r="I27" s="94"/>
    </row>
    <row r="28" spans="1:9">
      <c r="A28" s="56" t="s">
        <v>110</v>
      </c>
      <c r="B28" s="49" t="s">
        <v>71</v>
      </c>
      <c r="C28" s="49"/>
      <c r="D28" s="93">
        <v>240</v>
      </c>
      <c r="E28" s="93">
        <v>40739</v>
      </c>
      <c r="F28" s="93">
        <v>64</v>
      </c>
      <c r="G28" s="93">
        <v>52</v>
      </c>
      <c r="H28" s="93">
        <v>174</v>
      </c>
      <c r="I28" s="94">
        <v>41269</v>
      </c>
    </row>
    <row r="29" spans="1:9">
      <c r="A29" s="56"/>
      <c r="B29" s="49" t="s">
        <v>69</v>
      </c>
      <c r="C29" s="49"/>
      <c r="D29" s="93">
        <v>1390</v>
      </c>
      <c r="E29" s="93">
        <v>490</v>
      </c>
      <c r="F29" s="93">
        <v>68</v>
      </c>
      <c r="G29" s="93">
        <v>17</v>
      </c>
      <c r="H29" s="93">
        <v>339</v>
      </c>
      <c r="I29" s="94">
        <v>2304</v>
      </c>
    </row>
    <row r="30" spans="1:9">
      <c r="A30" s="56"/>
      <c r="B30" s="49" t="s">
        <v>72</v>
      </c>
      <c r="C30" s="49"/>
      <c r="D30" s="93">
        <v>3556</v>
      </c>
      <c r="E30" s="93">
        <v>4001</v>
      </c>
      <c r="F30" s="93">
        <v>461</v>
      </c>
      <c r="G30" s="93">
        <v>83</v>
      </c>
      <c r="H30" s="93">
        <v>842</v>
      </c>
      <c r="I30" s="94">
        <v>8943</v>
      </c>
    </row>
    <row r="31" spans="1:9">
      <c r="A31" s="58"/>
      <c r="B31" s="59" t="s">
        <v>65</v>
      </c>
      <c r="C31" s="59"/>
      <c r="D31" s="95">
        <v>33284</v>
      </c>
      <c r="E31" s="95">
        <v>45733</v>
      </c>
      <c r="F31" s="95">
        <v>1560</v>
      </c>
      <c r="G31" s="95">
        <v>234</v>
      </c>
      <c r="H31" s="95">
        <v>4852</v>
      </c>
      <c r="I31" s="96">
        <v>85663</v>
      </c>
    </row>
    <row r="32" spans="1:9">
      <c r="A32" s="56" t="s">
        <v>111</v>
      </c>
      <c r="B32" s="49" t="s">
        <v>67</v>
      </c>
      <c r="C32" s="49"/>
      <c r="D32" s="93">
        <v>11363</v>
      </c>
      <c r="E32" s="93">
        <v>978</v>
      </c>
      <c r="F32" s="93">
        <v>900</v>
      </c>
      <c r="G32" s="93">
        <v>62</v>
      </c>
      <c r="H32" s="93">
        <v>1546</v>
      </c>
      <c r="I32" s="94">
        <v>14849</v>
      </c>
    </row>
    <row r="33" spans="1:10">
      <c r="A33" s="56" t="s">
        <v>112</v>
      </c>
      <c r="B33" s="49" t="s">
        <v>81</v>
      </c>
      <c r="C33" s="49" t="s">
        <v>124</v>
      </c>
      <c r="D33" s="93">
        <v>235</v>
      </c>
      <c r="E33" s="93">
        <v>27056</v>
      </c>
      <c r="F33" s="93">
        <v>77</v>
      </c>
      <c r="G33" s="93">
        <v>36</v>
      </c>
      <c r="H33" s="93">
        <v>91</v>
      </c>
      <c r="I33" s="94">
        <v>27495</v>
      </c>
    </row>
    <row r="34" spans="1:10">
      <c r="A34" s="56"/>
      <c r="B34" s="49"/>
      <c r="C34" s="49" t="s">
        <v>125</v>
      </c>
      <c r="D34" s="93">
        <v>13571</v>
      </c>
      <c r="E34" s="93">
        <v>1958</v>
      </c>
      <c r="F34" s="93">
        <v>1065</v>
      </c>
      <c r="G34" s="93">
        <v>154</v>
      </c>
      <c r="H34" s="93">
        <v>3187</v>
      </c>
      <c r="I34" s="94">
        <v>19935</v>
      </c>
    </row>
    <row r="35" spans="1:10">
      <c r="A35" s="58"/>
      <c r="B35" s="59" t="s">
        <v>65</v>
      </c>
      <c r="C35" s="59"/>
      <c r="D35" s="95">
        <v>25169</v>
      </c>
      <c r="E35" s="95">
        <v>29992</v>
      </c>
      <c r="F35" s="95">
        <v>2042</v>
      </c>
      <c r="G35" s="95">
        <v>252</v>
      </c>
      <c r="H35" s="95">
        <v>4824</v>
      </c>
      <c r="I35" s="96">
        <v>62279</v>
      </c>
    </row>
    <row r="36" spans="1:10">
      <c r="A36" s="56" t="s">
        <v>86</v>
      </c>
      <c r="B36" s="49" t="s">
        <v>67</v>
      </c>
      <c r="C36" s="49"/>
      <c r="D36" s="93">
        <v>1777</v>
      </c>
      <c r="E36" s="93">
        <v>1722</v>
      </c>
      <c r="F36" s="93" t="s">
        <v>79</v>
      </c>
      <c r="G36" s="93" t="s">
        <v>79</v>
      </c>
      <c r="H36" s="93" t="s">
        <v>79</v>
      </c>
      <c r="I36" s="94">
        <v>4312</v>
      </c>
    </row>
    <row r="37" spans="1:10">
      <c r="A37" s="56"/>
      <c r="B37" s="49" t="s">
        <v>129</v>
      </c>
      <c r="C37" s="49"/>
      <c r="D37" s="93"/>
      <c r="E37" s="93"/>
      <c r="F37" s="93"/>
      <c r="G37" s="93"/>
      <c r="H37" s="93"/>
      <c r="I37" s="94"/>
    </row>
    <row r="38" spans="1:10">
      <c r="A38" s="56"/>
      <c r="B38" s="49" t="s">
        <v>71</v>
      </c>
      <c r="C38" s="49"/>
      <c r="D38" s="93">
        <v>27</v>
      </c>
      <c r="E38" s="93">
        <v>263</v>
      </c>
      <c r="F38" s="93" t="s">
        <v>80</v>
      </c>
      <c r="G38" s="93" t="s">
        <v>80</v>
      </c>
      <c r="H38" s="93" t="s">
        <v>79</v>
      </c>
      <c r="I38" s="94">
        <v>299</v>
      </c>
    </row>
    <row r="39" spans="1:10">
      <c r="A39" s="58"/>
      <c r="B39" s="59" t="s">
        <v>65</v>
      </c>
      <c r="C39" s="59"/>
      <c r="D39" s="95">
        <v>1804</v>
      </c>
      <c r="E39" s="95">
        <v>1985</v>
      </c>
      <c r="F39" s="95">
        <v>87</v>
      </c>
      <c r="G39" s="95">
        <v>19</v>
      </c>
      <c r="H39" s="95">
        <v>716</v>
      </c>
      <c r="I39" s="96">
        <v>4611</v>
      </c>
    </row>
    <row r="40" spans="1:10" ht="28.5" customHeight="1" thickBot="1">
      <c r="A40" s="71" t="s">
        <v>122</v>
      </c>
      <c r="B40" s="72"/>
      <c r="C40" s="106"/>
      <c r="D40" s="107">
        <v>126150</v>
      </c>
      <c r="E40" s="107">
        <v>164481</v>
      </c>
      <c r="F40" s="107">
        <v>7529.0000000000009</v>
      </c>
      <c r="G40" s="107">
        <v>1364</v>
      </c>
      <c r="H40" s="107">
        <v>25470.999999999996</v>
      </c>
      <c r="I40" s="108">
        <v>324995</v>
      </c>
    </row>
    <row r="41" spans="1:10" ht="13.5" thickTop="1">
      <c r="A41" s="49"/>
      <c r="C41" s="49"/>
      <c r="D41" s="97"/>
      <c r="E41" s="97"/>
      <c r="F41" s="97"/>
      <c r="G41" s="97"/>
      <c r="H41" s="97"/>
      <c r="I41" s="97"/>
    </row>
    <row r="42" spans="1:10">
      <c r="A42" s="40" t="s">
        <v>90</v>
      </c>
    </row>
    <row r="43" spans="1:10" ht="14.25">
      <c r="A43" s="75" t="s">
        <v>147</v>
      </c>
    </row>
    <row r="44" spans="1:10" ht="14.25">
      <c r="A44" s="75" t="s">
        <v>130</v>
      </c>
    </row>
    <row r="45" spans="1:10" ht="14.25">
      <c r="A45" s="40" t="s">
        <v>138</v>
      </c>
    </row>
    <row r="48" spans="1:10">
      <c r="J48" s="92"/>
    </row>
  </sheetData>
  <mergeCells count="6">
    <mergeCell ref="I4:I6"/>
    <mergeCell ref="D4:D6"/>
    <mergeCell ref="E4:E6"/>
    <mergeCell ref="F4:F6"/>
    <mergeCell ref="G4:G6"/>
    <mergeCell ref="H4:H6"/>
  </mergeCells>
  <pageMargins left="0.75000000000000011" right="0.75000000000000011" top="1" bottom="1" header="0.5" footer="0.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5"/>
  <sheetViews>
    <sheetView workbookViewId="0"/>
  </sheetViews>
  <sheetFormatPr defaultRowHeight="12.75"/>
  <cols>
    <col min="1" max="1" width="20.42578125" customWidth="1"/>
    <col min="2" max="2" width="27.140625" bestFit="1" customWidth="1"/>
    <col min="3" max="3" width="22.5703125" customWidth="1"/>
    <col min="4" max="4" width="11.28515625" bestFit="1" customWidth="1"/>
    <col min="5" max="5" width="16.7109375" bestFit="1" customWidth="1"/>
    <col min="6" max="6" width="15.85546875" bestFit="1" customWidth="1"/>
    <col min="7" max="7" width="14.42578125" bestFit="1" customWidth="1"/>
    <col min="8" max="8" width="15.28515625" customWidth="1"/>
    <col min="9" max="9" width="10" customWidth="1"/>
    <col min="10" max="10" width="9.140625" customWidth="1"/>
  </cols>
  <sheetData>
    <row r="1" spans="1:11" s="38" customFormat="1" ht="18">
      <c r="A1" s="38" t="s">
        <v>148</v>
      </c>
      <c r="D1" s="91"/>
      <c r="E1" s="91"/>
      <c r="F1" s="91"/>
      <c r="G1" s="91"/>
      <c r="H1" s="91"/>
      <c r="I1" s="91"/>
    </row>
    <row r="2" spans="1:11" s="38" customFormat="1" ht="18">
      <c r="A2" s="38" t="s">
        <v>56</v>
      </c>
      <c r="D2" s="91"/>
      <c r="E2" s="91"/>
      <c r="F2" s="91"/>
      <c r="G2" s="91"/>
      <c r="H2" s="91"/>
      <c r="I2" s="91"/>
    </row>
    <row r="3" spans="1:11" s="40" customFormat="1" ht="13.5" customHeight="1" thickBot="1">
      <c r="D3" s="92"/>
      <c r="E3" s="92"/>
      <c r="F3" s="92"/>
      <c r="G3" s="92"/>
      <c r="H3" s="92"/>
      <c r="I3" s="92"/>
    </row>
    <row r="4" spans="1:11" s="44" customFormat="1" ht="14.25" thickTop="1" thickBot="1">
      <c r="A4" s="42"/>
      <c r="B4" s="43"/>
      <c r="C4" s="43"/>
      <c r="D4" s="442" t="s">
        <v>58</v>
      </c>
      <c r="E4" s="442" t="s">
        <v>133</v>
      </c>
      <c r="F4" s="442" t="s">
        <v>116</v>
      </c>
      <c r="G4" s="442" t="s">
        <v>117</v>
      </c>
      <c r="H4" s="443" t="s">
        <v>127</v>
      </c>
      <c r="I4" s="441" t="s">
        <v>61</v>
      </c>
    </row>
    <row r="5" spans="1:11" s="44" customFormat="1" ht="14.25" thickTop="1" thickBot="1">
      <c r="A5" s="45"/>
      <c r="B5" s="46"/>
      <c r="C5" s="46"/>
      <c r="D5" s="442"/>
      <c r="E5" s="442"/>
      <c r="F5" s="442"/>
      <c r="G5" s="442"/>
      <c r="H5" s="443"/>
      <c r="I5" s="441"/>
    </row>
    <row r="6" spans="1:11" s="44" customFormat="1" ht="13.5" thickTop="1">
      <c r="A6" s="47"/>
      <c r="B6" s="48"/>
      <c r="C6" s="48"/>
      <c r="D6" s="442"/>
      <c r="E6" s="442"/>
      <c r="F6" s="442"/>
      <c r="G6" s="442"/>
      <c r="H6" s="443"/>
      <c r="I6" s="441"/>
    </row>
    <row r="7" spans="1:11" s="40" customFormat="1">
      <c r="A7" s="56" t="s">
        <v>66</v>
      </c>
      <c r="B7" s="49" t="s">
        <v>67</v>
      </c>
      <c r="C7" s="49"/>
      <c r="D7" s="93">
        <v>2440</v>
      </c>
      <c r="E7" s="93">
        <v>1096</v>
      </c>
      <c r="F7" s="93">
        <v>60</v>
      </c>
      <c r="G7" s="93">
        <v>33</v>
      </c>
      <c r="H7" s="93">
        <v>572</v>
      </c>
      <c r="I7" s="94">
        <f>SUM(D7:H7)</f>
        <v>4201</v>
      </c>
    </row>
    <row r="8" spans="1:11" s="40" customFormat="1">
      <c r="A8" s="56"/>
      <c r="B8" s="49" t="s">
        <v>68</v>
      </c>
      <c r="C8" s="49"/>
      <c r="D8" s="93">
        <v>65</v>
      </c>
      <c r="E8" s="93">
        <v>1658</v>
      </c>
      <c r="F8" s="93">
        <v>2</v>
      </c>
      <c r="G8" s="93">
        <v>6</v>
      </c>
      <c r="H8" s="93">
        <v>121</v>
      </c>
      <c r="I8" s="94">
        <f>SUM(D8:H8)</f>
        <v>1852</v>
      </c>
    </row>
    <row r="9" spans="1:11" s="40" customFormat="1">
      <c r="A9" s="58"/>
      <c r="B9" s="59" t="s">
        <v>65</v>
      </c>
      <c r="C9" s="59"/>
      <c r="D9" s="95">
        <f>SUM(D7:D8)</f>
        <v>2505</v>
      </c>
      <c r="E9" s="95">
        <f>SUM(E7:E8)</f>
        <v>2754</v>
      </c>
      <c r="F9" s="95">
        <f>SUM(F7:F8)</f>
        <v>62</v>
      </c>
      <c r="G9" s="95">
        <f>SUM(G7:G8)</f>
        <v>39</v>
      </c>
      <c r="H9" s="95">
        <f>SUM(H7:H8)</f>
        <v>693</v>
      </c>
      <c r="I9" s="96">
        <f>SUM(D9:H9)</f>
        <v>6053</v>
      </c>
      <c r="K9" s="113"/>
    </row>
    <row r="10" spans="1:11" s="40" customFormat="1" ht="14.25">
      <c r="A10" s="56" t="s">
        <v>103</v>
      </c>
      <c r="B10" s="49" t="s">
        <v>142</v>
      </c>
      <c r="C10" s="49"/>
      <c r="D10" s="93">
        <v>2599.0000000000005</v>
      </c>
      <c r="E10" s="93">
        <v>472.00000000000142</v>
      </c>
      <c r="F10" s="93">
        <v>241.99999999999969</v>
      </c>
      <c r="G10" s="93">
        <v>32.999999999999908</v>
      </c>
      <c r="H10" s="93">
        <v>1043.0000000000018</v>
      </c>
      <c r="I10" s="94">
        <v>4389</v>
      </c>
      <c r="K10" s="113"/>
    </row>
    <row r="11" spans="1:11" s="40" customFormat="1" ht="13.9" customHeight="1">
      <c r="A11" s="56" t="s">
        <v>104</v>
      </c>
      <c r="B11" s="49" t="s">
        <v>129</v>
      </c>
      <c r="C11" s="49"/>
      <c r="D11" s="93">
        <v>0</v>
      </c>
      <c r="E11" s="93">
        <v>0</v>
      </c>
      <c r="F11" s="93">
        <v>0</v>
      </c>
      <c r="G11" s="93">
        <v>0</v>
      </c>
      <c r="H11" s="93">
        <v>0</v>
      </c>
      <c r="I11" s="94">
        <v>0</v>
      </c>
      <c r="K11" s="113"/>
    </row>
    <row r="12" spans="1:11" s="40" customFormat="1">
      <c r="A12" s="56"/>
      <c r="B12" s="49" t="s">
        <v>71</v>
      </c>
      <c r="C12" s="49"/>
      <c r="D12" s="93">
        <v>99</v>
      </c>
      <c r="E12" s="93">
        <v>3684</v>
      </c>
      <c r="F12" s="93">
        <v>17</v>
      </c>
      <c r="G12" s="93">
        <v>18</v>
      </c>
      <c r="H12" s="93">
        <v>92</v>
      </c>
      <c r="I12" s="94">
        <f>SUM(D12:H12)</f>
        <v>3910</v>
      </c>
      <c r="K12" s="113"/>
    </row>
    <row r="13" spans="1:11" s="40" customFormat="1">
      <c r="A13" s="56"/>
      <c r="B13" s="49" t="s">
        <v>69</v>
      </c>
      <c r="C13" s="49"/>
      <c r="D13" s="93">
        <v>6</v>
      </c>
      <c r="E13" s="93">
        <v>5</v>
      </c>
      <c r="F13" s="93" t="s">
        <v>80</v>
      </c>
      <c r="G13" s="93">
        <v>0</v>
      </c>
      <c r="H13" s="93" t="s">
        <v>79</v>
      </c>
      <c r="I13" s="94">
        <v>19</v>
      </c>
      <c r="K13" s="113"/>
    </row>
    <row r="14" spans="1:11" s="40" customFormat="1">
      <c r="A14" s="56"/>
      <c r="B14" s="49" t="s">
        <v>72</v>
      </c>
      <c r="C14" s="49"/>
      <c r="D14" s="93">
        <v>122</v>
      </c>
      <c r="E14" s="93">
        <v>157</v>
      </c>
      <c r="F14" s="93" t="s">
        <v>79</v>
      </c>
      <c r="G14" s="93">
        <v>7</v>
      </c>
      <c r="H14" s="93" t="s">
        <v>79</v>
      </c>
      <c r="I14" s="94">
        <v>391</v>
      </c>
      <c r="K14" s="113"/>
    </row>
    <row r="15" spans="1:11" s="40" customFormat="1">
      <c r="A15" s="58"/>
      <c r="B15" s="59" t="s">
        <v>65</v>
      </c>
      <c r="C15" s="59"/>
      <c r="D15" s="95">
        <v>2825.9999999999973</v>
      </c>
      <c r="E15" s="95">
        <v>4318.0000000000036</v>
      </c>
      <c r="F15" s="95">
        <v>279.00000000000051</v>
      </c>
      <c r="G15" s="95">
        <v>58.000000000000021</v>
      </c>
      <c r="H15" s="95">
        <v>1227.9999999999995</v>
      </c>
      <c r="I15" s="96">
        <v>8709</v>
      </c>
      <c r="J15" s="62"/>
      <c r="K15" s="113"/>
    </row>
    <row r="16" spans="1:11" s="40" customFormat="1">
      <c r="A16" s="56" t="s">
        <v>105</v>
      </c>
      <c r="B16" s="49" t="s">
        <v>67</v>
      </c>
      <c r="C16" s="49"/>
      <c r="D16" s="93">
        <v>57813</v>
      </c>
      <c r="E16" s="93">
        <v>3401</v>
      </c>
      <c r="F16" s="93">
        <v>2657</v>
      </c>
      <c r="G16" s="93">
        <v>418</v>
      </c>
      <c r="H16" s="93">
        <v>10437</v>
      </c>
      <c r="I16" s="94">
        <v>74726</v>
      </c>
      <c r="K16" s="113"/>
    </row>
    <row r="17" spans="1:11" s="40" customFormat="1">
      <c r="A17" s="56" t="s">
        <v>106</v>
      </c>
      <c r="B17" s="49" t="s">
        <v>129</v>
      </c>
      <c r="C17" s="49"/>
      <c r="D17" s="98"/>
      <c r="E17" s="98"/>
      <c r="F17" s="98"/>
      <c r="G17" s="98"/>
      <c r="H17" s="99"/>
      <c r="I17" s="100"/>
      <c r="K17" s="113"/>
    </row>
    <row r="18" spans="1:11" s="40" customFormat="1">
      <c r="A18" s="56"/>
      <c r="B18" s="49" t="s">
        <v>71</v>
      </c>
      <c r="C18" s="49"/>
      <c r="D18" s="93">
        <v>785</v>
      </c>
      <c r="E18" s="93">
        <v>73839</v>
      </c>
      <c r="F18" s="93">
        <v>153</v>
      </c>
      <c r="G18" s="93">
        <v>155</v>
      </c>
      <c r="H18" s="93">
        <v>481</v>
      </c>
      <c r="I18" s="94">
        <v>75413</v>
      </c>
    </row>
    <row r="19" spans="1:11" s="40" customFormat="1">
      <c r="A19" s="56"/>
      <c r="B19" s="49" t="s">
        <v>69</v>
      </c>
      <c r="C19" s="49"/>
      <c r="D19" s="93">
        <v>997</v>
      </c>
      <c r="E19" s="93">
        <v>559</v>
      </c>
      <c r="F19" s="93">
        <v>80</v>
      </c>
      <c r="G19" s="93">
        <v>25</v>
      </c>
      <c r="H19" s="93">
        <v>415</v>
      </c>
      <c r="I19" s="94">
        <v>2076</v>
      </c>
    </row>
    <row r="20" spans="1:11" s="40" customFormat="1">
      <c r="A20" s="56"/>
      <c r="B20" s="49" t="s">
        <v>72</v>
      </c>
      <c r="C20" s="49"/>
      <c r="D20" s="93">
        <v>1715</v>
      </c>
      <c r="E20" s="93">
        <v>2035</v>
      </c>
      <c r="F20" s="93">
        <v>282</v>
      </c>
      <c r="G20" s="93">
        <v>53</v>
      </c>
      <c r="H20" s="93">
        <v>720</v>
      </c>
      <c r="I20" s="94">
        <v>4805</v>
      </c>
    </row>
    <row r="21" spans="1:11" s="40" customFormat="1">
      <c r="A21" s="58"/>
      <c r="B21" s="59" t="s">
        <v>65</v>
      </c>
      <c r="C21" s="59"/>
      <c r="D21" s="95">
        <v>61310</v>
      </c>
      <c r="E21" s="95">
        <v>79834</v>
      </c>
      <c r="F21" s="95">
        <v>3172</v>
      </c>
      <c r="G21" s="95">
        <v>651</v>
      </c>
      <c r="H21" s="95">
        <v>12053</v>
      </c>
      <c r="I21" s="96">
        <v>157020</v>
      </c>
    </row>
    <row r="22" spans="1:11" s="40" customFormat="1">
      <c r="A22" s="56" t="s">
        <v>107</v>
      </c>
      <c r="B22" s="49" t="s">
        <v>67</v>
      </c>
      <c r="C22" s="49"/>
      <c r="D22" s="93">
        <v>239</v>
      </c>
      <c r="E22" s="93">
        <v>24</v>
      </c>
      <c r="F22" s="93" t="s">
        <v>79</v>
      </c>
      <c r="G22" s="93" t="s">
        <v>80</v>
      </c>
      <c r="H22" s="93">
        <v>51</v>
      </c>
      <c r="I22" s="94">
        <v>335</v>
      </c>
    </row>
    <row r="23" spans="1:11" s="40" customFormat="1" ht="25.5">
      <c r="A23" s="56" t="s">
        <v>106</v>
      </c>
      <c r="B23" s="49" t="s">
        <v>81</v>
      </c>
      <c r="C23" s="114" t="s">
        <v>124</v>
      </c>
      <c r="D23" s="101">
        <v>0</v>
      </c>
      <c r="E23" s="102">
        <v>0</v>
      </c>
      <c r="F23" s="103">
        <v>0</v>
      </c>
      <c r="G23" s="102">
        <v>0</v>
      </c>
      <c r="H23" s="104">
        <v>0</v>
      </c>
      <c r="I23" s="105">
        <v>0</v>
      </c>
    </row>
    <row r="24" spans="1:11" s="40" customFormat="1" ht="25.5">
      <c r="A24" s="56"/>
      <c r="B24" s="49"/>
      <c r="C24" s="114" t="s">
        <v>125</v>
      </c>
      <c r="D24" s="93">
        <v>1164</v>
      </c>
      <c r="E24" s="93">
        <v>202</v>
      </c>
      <c r="F24" s="93" t="s">
        <v>79</v>
      </c>
      <c r="G24" s="93" t="s">
        <v>79</v>
      </c>
      <c r="H24" s="93">
        <v>577</v>
      </c>
      <c r="I24" s="94">
        <v>2066</v>
      </c>
    </row>
    <row r="25" spans="1:11" s="40" customFormat="1">
      <c r="A25" s="58"/>
      <c r="B25" s="59" t="s">
        <v>65</v>
      </c>
      <c r="C25" s="115"/>
      <c r="D25" s="95">
        <v>1403</v>
      </c>
      <c r="E25" s="95">
        <v>226</v>
      </c>
      <c r="F25" s="95">
        <v>107</v>
      </c>
      <c r="G25" s="95">
        <v>37</v>
      </c>
      <c r="H25" s="95">
        <v>628</v>
      </c>
      <c r="I25" s="96">
        <v>2401</v>
      </c>
    </row>
    <row r="26" spans="1:11" s="40" customFormat="1">
      <c r="A26" s="56" t="s">
        <v>108</v>
      </c>
      <c r="B26" s="49" t="s">
        <v>67</v>
      </c>
      <c r="C26" s="114"/>
      <c r="D26" s="93">
        <v>29407</v>
      </c>
      <c r="E26" s="93">
        <v>566</v>
      </c>
      <c r="F26" s="93">
        <v>1009</v>
      </c>
      <c r="G26" s="93">
        <v>78</v>
      </c>
      <c r="H26" s="93">
        <v>3663</v>
      </c>
      <c r="I26" s="94">
        <v>34723</v>
      </c>
    </row>
    <row r="27" spans="1:11" s="40" customFormat="1">
      <c r="A27" s="56" t="s">
        <v>109</v>
      </c>
      <c r="B27" s="49" t="s">
        <v>129</v>
      </c>
      <c r="C27" s="114"/>
      <c r="D27" s="93"/>
      <c r="E27" s="93"/>
      <c r="F27" s="93"/>
      <c r="G27" s="93"/>
      <c r="H27" s="93"/>
      <c r="I27" s="94"/>
    </row>
    <row r="28" spans="1:11" s="40" customFormat="1">
      <c r="A28" s="56" t="s">
        <v>110</v>
      </c>
      <c r="B28" s="49" t="s">
        <v>71</v>
      </c>
      <c r="C28" s="114"/>
      <c r="D28" s="93">
        <v>219</v>
      </c>
      <c r="E28" s="93">
        <v>41555</v>
      </c>
      <c r="F28" s="93">
        <v>68</v>
      </c>
      <c r="G28" s="93">
        <v>49</v>
      </c>
      <c r="H28" s="93">
        <v>180</v>
      </c>
      <c r="I28" s="94">
        <v>42071</v>
      </c>
    </row>
    <row r="29" spans="1:11" s="40" customFormat="1">
      <c r="A29" s="56"/>
      <c r="B29" s="49" t="s">
        <v>69</v>
      </c>
      <c r="C29" s="114"/>
      <c r="D29" s="93">
        <v>1283</v>
      </c>
      <c r="E29" s="93">
        <v>386</v>
      </c>
      <c r="F29" s="93">
        <v>70</v>
      </c>
      <c r="G29" s="93">
        <v>15</v>
      </c>
      <c r="H29" s="93">
        <v>247</v>
      </c>
      <c r="I29" s="94">
        <v>2001</v>
      </c>
    </row>
    <row r="30" spans="1:11" s="40" customFormat="1">
      <c r="A30" s="56"/>
      <c r="B30" s="49" t="s">
        <v>72</v>
      </c>
      <c r="C30" s="114"/>
      <c r="D30" s="93">
        <v>3452</v>
      </c>
      <c r="E30" s="93">
        <v>3975</v>
      </c>
      <c r="F30" s="93">
        <v>488</v>
      </c>
      <c r="G30" s="93">
        <v>79</v>
      </c>
      <c r="H30" s="93">
        <v>731</v>
      </c>
      <c r="I30" s="94">
        <v>8725</v>
      </c>
    </row>
    <row r="31" spans="1:11" s="40" customFormat="1">
      <c r="A31" s="58"/>
      <c r="B31" s="59" t="s">
        <v>65</v>
      </c>
      <c r="C31" s="115"/>
      <c r="D31" s="95">
        <v>34361</v>
      </c>
      <c r="E31" s="95">
        <v>46482</v>
      </c>
      <c r="F31" s="95">
        <v>1635</v>
      </c>
      <c r="G31" s="95">
        <v>221</v>
      </c>
      <c r="H31" s="95">
        <v>4821</v>
      </c>
      <c r="I31" s="96">
        <v>87520</v>
      </c>
    </row>
    <row r="32" spans="1:11" s="40" customFormat="1">
      <c r="A32" s="56" t="s">
        <v>111</v>
      </c>
      <c r="B32" s="49" t="s">
        <v>67</v>
      </c>
      <c r="C32" s="114"/>
      <c r="D32" s="93">
        <v>11476</v>
      </c>
      <c r="E32" s="93">
        <v>922</v>
      </c>
      <c r="F32" s="93">
        <v>861</v>
      </c>
      <c r="G32" s="93">
        <v>55</v>
      </c>
      <c r="H32" s="93">
        <v>1437</v>
      </c>
      <c r="I32" s="94">
        <v>14751</v>
      </c>
    </row>
    <row r="33" spans="1:9" s="40" customFormat="1" ht="25.5">
      <c r="A33" s="56" t="s">
        <v>112</v>
      </c>
      <c r="B33" s="49" t="s">
        <v>81</v>
      </c>
      <c r="C33" s="114" t="s">
        <v>124</v>
      </c>
      <c r="D33" s="93">
        <v>223</v>
      </c>
      <c r="E33" s="93">
        <v>27108</v>
      </c>
      <c r="F33" s="93">
        <v>80</v>
      </c>
      <c r="G33" s="93">
        <v>26</v>
      </c>
      <c r="H33" s="93">
        <v>77</v>
      </c>
      <c r="I33" s="94">
        <v>27514</v>
      </c>
    </row>
    <row r="34" spans="1:9" s="40" customFormat="1" ht="25.5">
      <c r="A34" s="56"/>
      <c r="B34" s="49"/>
      <c r="C34" s="114" t="s">
        <v>125</v>
      </c>
      <c r="D34" s="93">
        <v>13767</v>
      </c>
      <c r="E34" s="93">
        <v>1951</v>
      </c>
      <c r="F34" s="93">
        <v>985</v>
      </c>
      <c r="G34" s="93">
        <v>153</v>
      </c>
      <c r="H34" s="93">
        <v>3124</v>
      </c>
      <c r="I34" s="94">
        <v>19980</v>
      </c>
    </row>
    <row r="35" spans="1:9" s="40" customFormat="1">
      <c r="A35" s="58"/>
      <c r="B35" s="59" t="s">
        <v>65</v>
      </c>
      <c r="C35" s="115"/>
      <c r="D35" s="95">
        <v>25466</v>
      </c>
      <c r="E35" s="95">
        <v>29981</v>
      </c>
      <c r="F35" s="95">
        <v>1926</v>
      </c>
      <c r="G35" s="95">
        <v>234</v>
      </c>
      <c r="H35" s="95">
        <v>4683</v>
      </c>
      <c r="I35" s="96">
        <v>62245</v>
      </c>
    </row>
    <row r="36" spans="1:9" s="40" customFormat="1">
      <c r="A36" s="56" t="s">
        <v>86</v>
      </c>
      <c r="B36" s="49" t="s">
        <v>67</v>
      </c>
      <c r="C36" s="49"/>
      <c r="D36" s="93">
        <v>1792</v>
      </c>
      <c r="E36" s="93">
        <v>1701</v>
      </c>
      <c r="F36" s="93" t="s">
        <v>79</v>
      </c>
      <c r="G36" s="93" t="s">
        <v>79</v>
      </c>
      <c r="H36" s="93" t="s">
        <v>79</v>
      </c>
      <c r="I36" s="94">
        <v>4258</v>
      </c>
    </row>
    <row r="37" spans="1:9" s="40" customFormat="1">
      <c r="A37" s="56"/>
      <c r="B37" s="49" t="s">
        <v>129</v>
      </c>
      <c r="C37" s="49"/>
      <c r="D37" s="93"/>
      <c r="E37" s="93"/>
      <c r="F37" s="93"/>
      <c r="G37" s="93"/>
      <c r="H37" s="93"/>
      <c r="I37" s="94"/>
    </row>
    <row r="38" spans="1:9" s="40" customFormat="1">
      <c r="A38" s="56"/>
      <c r="B38" s="49" t="s">
        <v>71</v>
      </c>
      <c r="C38" s="49"/>
      <c r="D38" s="93">
        <v>27</v>
      </c>
      <c r="E38" s="93">
        <v>264</v>
      </c>
      <c r="F38" s="93" t="s">
        <v>80</v>
      </c>
      <c r="G38" s="93" t="s">
        <v>80</v>
      </c>
      <c r="H38" s="93" t="s">
        <v>79</v>
      </c>
      <c r="I38" s="94">
        <v>299</v>
      </c>
    </row>
    <row r="39" spans="1:9" s="40" customFormat="1">
      <c r="A39" s="58"/>
      <c r="B39" s="59" t="s">
        <v>65</v>
      </c>
      <c r="C39" s="59"/>
      <c r="D39" s="95">
        <v>1819</v>
      </c>
      <c r="E39" s="95">
        <v>1965</v>
      </c>
      <c r="F39" s="95">
        <v>78</v>
      </c>
      <c r="G39" s="95">
        <v>15</v>
      </c>
      <c r="H39" s="95">
        <v>680</v>
      </c>
      <c r="I39" s="96">
        <v>4557</v>
      </c>
    </row>
    <row r="40" spans="1:9" s="40" customFormat="1" ht="28.5" customHeight="1" thickBot="1">
      <c r="A40" s="71" t="s">
        <v>122</v>
      </c>
      <c r="B40" s="72"/>
      <c r="C40" s="106"/>
      <c r="D40" s="107">
        <v>129690</v>
      </c>
      <c r="E40" s="107">
        <v>165560</v>
      </c>
      <c r="F40" s="107">
        <v>7259.0000000000009</v>
      </c>
      <c r="G40" s="107">
        <v>1255</v>
      </c>
      <c r="H40" s="107">
        <v>24786</v>
      </c>
      <c r="I40" s="108">
        <v>328505</v>
      </c>
    </row>
    <row r="41" spans="1:9" s="40" customFormat="1" ht="13.5" thickTop="1">
      <c r="A41" s="49"/>
      <c r="C41" s="49"/>
      <c r="D41" s="97"/>
      <c r="E41" s="97"/>
      <c r="F41" s="97"/>
      <c r="G41" s="97"/>
      <c r="H41" s="97"/>
      <c r="I41" s="97"/>
    </row>
    <row r="42" spans="1:9" s="40" customFormat="1">
      <c r="A42" s="40" t="s">
        <v>90</v>
      </c>
      <c r="D42" s="92"/>
      <c r="E42" s="92"/>
      <c r="F42" s="92"/>
      <c r="G42" s="92"/>
      <c r="H42" s="92"/>
      <c r="I42" s="92"/>
    </row>
    <row r="43" spans="1:9" s="40" customFormat="1" ht="14.25">
      <c r="A43" s="75" t="s">
        <v>120</v>
      </c>
      <c r="D43" s="92"/>
      <c r="E43" s="92"/>
      <c r="F43" s="92"/>
      <c r="G43" s="92"/>
      <c r="H43" s="92"/>
      <c r="I43" s="92"/>
    </row>
    <row r="44" spans="1:9" s="40" customFormat="1" ht="14.25">
      <c r="A44" s="75" t="s">
        <v>130</v>
      </c>
      <c r="D44" s="92"/>
      <c r="E44" s="92"/>
      <c r="F44" s="92"/>
      <c r="G44" s="92"/>
      <c r="H44" s="92"/>
      <c r="I44" s="92"/>
    </row>
    <row r="45" spans="1:9" s="40" customFormat="1" ht="14.25">
      <c r="A45" s="40" t="s">
        <v>138</v>
      </c>
      <c r="D45" s="92"/>
      <c r="E45" s="92"/>
      <c r="F45" s="92"/>
      <c r="G45" s="92"/>
      <c r="H45" s="92"/>
      <c r="I45" s="92"/>
    </row>
  </sheetData>
  <mergeCells count="6">
    <mergeCell ref="I4:I6"/>
    <mergeCell ref="D4:D6"/>
    <mergeCell ref="E4:E6"/>
    <mergeCell ref="F4:F6"/>
    <mergeCell ref="G4:G6"/>
    <mergeCell ref="H4:H6"/>
  </mergeCells>
  <pageMargins left="0.75000000000000011" right="0.75000000000000011" top="1" bottom="1" header="0.5" footer="0.5"/>
  <pageSetup paperSize="0" fitToWidth="0" fitToHeight="0"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8"/>
  <sheetViews>
    <sheetView workbookViewId="0"/>
  </sheetViews>
  <sheetFormatPr defaultColWidth="9.140625" defaultRowHeight="12.75"/>
  <cols>
    <col min="1" max="1" width="21" style="40" customWidth="1"/>
    <col min="2" max="2" width="27.140625" style="40" customWidth="1"/>
    <col min="3" max="3" width="41.42578125" style="40" bestFit="1" customWidth="1"/>
    <col min="4" max="9" width="15.7109375" style="92" customWidth="1"/>
    <col min="10" max="10" width="9.140625" style="40" customWidth="1"/>
    <col min="11" max="16384" width="9.140625" style="40"/>
  </cols>
  <sheetData>
    <row r="1" spans="1:17" s="38" customFormat="1" ht="18">
      <c r="A1" s="38" t="s">
        <v>149</v>
      </c>
      <c r="D1" s="91"/>
      <c r="E1" s="91"/>
      <c r="F1" s="91"/>
      <c r="G1" s="91"/>
      <c r="H1" s="91"/>
      <c r="I1" s="91"/>
    </row>
    <row r="2" spans="1:17" s="38" customFormat="1" ht="18">
      <c r="A2" s="38" t="s">
        <v>56</v>
      </c>
      <c r="D2" s="91"/>
      <c r="E2" s="91"/>
      <c r="F2" s="91"/>
      <c r="G2" s="91"/>
      <c r="H2" s="91"/>
      <c r="I2" s="91"/>
    </row>
    <row r="3" spans="1:17" ht="13.5" customHeight="1" thickBot="1"/>
    <row r="4" spans="1:17" s="44" customFormat="1" ht="14.25" thickTop="1" thickBot="1">
      <c r="A4" s="42"/>
      <c r="B4" s="43"/>
      <c r="C4" s="43"/>
      <c r="D4" s="442" t="s">
        <v>58</v>
      </c>
      <c r="E4" s="442" t="s">
        <v>133</v>
      </c>
      <c r="F4" s="442" t="s">
        <v>116</v>
      </c>
      <c r="G4" s="442" t="s">
        <v>117</v>
      </c>
      <c r="H4" s="443" t="s">
        <v>127</v>
      </c>
      <c r="I4" s="441" t="s">
        <v>61</v>
      </c>
    </row>
    <row r="5" spans="1:17" s="44" customFormat="1" ht="14.25" thickTop="1" thickBot="1">
      <c r="A5" s="45"/>
      <c r="B5" s="46"/>
      <c r="C5" s="46"/>
      <c r="D5" s="442"/>
      <c r="E5" s="442"/>
      <c r="F5" s="442"/>
      <c r="G5" s="442"/>
      <c r="H5" s="443"/>
      <c r="I5" s="441"/>
    </row>
    <row r="6" spans="1:17" s="44" customFormat="1" ht="13.5" thickTop="1">
      <c r="A6" s="47"/>
      <c r="B6" s="48"/>
      <c r="C6" s="48"/>
      <c r="D6" s="442"/>
      <c r="E6" s="442"/>
      <c r="F6" s="442"/>
      <c r="G6" s="442"/>
      <c r="H6" s="443"/>
      <c r="I6" s="441"/>
    </row>
    <row r="7" spans="1:17">
      <c r="A7" s="56" t="s">
        <v>66</v>
      </c>
      <c r="B7" s="49" t="s">
        <v>67</v>
      </c>
      <c r="C7" s="49"/>
      <c r="D7" s="93">
        <v>2480</v>
      </c>
      <c r="E7" s="93">
        <v>1144</v>
      </c>
      <c r="F7" s="93">
        <v>87</v>
      </c>
      <c r="G7" s="93">
        <v>28</v>
      </c>
      <c r="H7" s="93">
        <v>605</v>
      </c>
      <c r="I7" s="94">
        <v>4344</v>
      </c>
    </row>
    <row r="8" spans="1:17">
      <c r="A8" s="56"/>
      <c r="B8" s="49" t="s">
        <v>68</v>
      </c>
      <c r="C8" s="49"/>
      <c r="D8" s="93">
        <v>57</v>
      </c>
      <c r="E8" s="93">
        <v>1640</v>
      </c>
      <c r="F8" s="93">
        <v>5</v>
      </c>
      <c r="G8" s="93">
        <v>8</v>
      </c>
      <c r="H8" s="93">
        <v>121</v>
      </c>
      <c r="I8" s="94">
        <v>1831</v>
      </c>
    </row>
    <row r="9" spans="1:17">
      <c r="A9" s="58"/>
      <c r="B9" s="59" t="s">
        <v>65</v>
      </c>
      <c r="C9" s="59"/>
      <c r="D9" s="95">
        <v>2537</v>
      </c>
      <c r="E9" s="95">
        <v>2784</v>
      </c>
      <c r="F9" s="95">
        <v>92</v>
      </c>
      <c r="G9" s="95">
        <v>36</v>
      </c>
      <c r="H9" s="95">
        <v>726</v>
      </c>
      <c r="I9" s="96">
        <v>6175</v>
      </c>
    </row>
    <row r="10" spans="1:17" ht="14.25">
      <c r="A10" s="56" t="s">
        <v>103</v>
      </c>
      <c r="B10" s="49" t="s">
        <v>134</v>
      </c>
      <c r="C10" s="49"/>
      <c r="D10" s="93">
        <v>2595.9999999999995</v>
      </c>
      <c r="E10" s="93">
        <v>479</v>
      </c>
      <c r="F10" s="93">
        <v>110.99999999999997</v>
      </c>
      <c r="G10" s="93">
        <v>23.000000000000004</v>
      </c>
      <c r="H10" s="93">
        <v>1185</v>
      </c>
      <c r="I10" s="94">
        <v>4393.9999999999973</v>
      </c>
      <c r="K10" s="116"/>
      <c r="L10" s="117"/>
      <c r="M10" s="117"/>
      <c r="N10" s="117"/>
      <c r="O10" s="117"/>
      <c r="P10" s="117"/>
      <c r="Q10" s="117"/>
    </row>
    <row r="11" spans="1:17">
      <c r="A11" s="56" t="s">
        <v>104</v>
      </c>
      <c r="B11" s="49" t="s">
        <v>129</v>
      </c>
      <c r="C11" s="49"/>
      <c r="D11" s="93">
        <v>0</v>
      </c>
      <c r="E11" s="93">
        <v>0</v>
      </c>
      <c r="F11" s="93">
        <v>0</v>
      </c>
      <c r="G11" s="93">
        <v>0</v>
      </c>
      <c r="H11" s="93">
        <v>0</v>
      </c>
      <c r="I11" s="94">
        <v>0</v>
      </c>
      <c r="K11" s="116"/>
      <c r="L11" s="117"/>
      <c r="M11" s="117"/>
      <c r="N11" s="117"/>
      <c r="O11" s="117"/>
      <c r="P11" s="117"/>
      <c r="Q11" s="117"/>
    </row>
    <row r="12" spans="1:17">
      <c r="A12" s="56"/>
      <c r="B12" s="49" t="s">
        <v>71</v>
      </c>
      <c r="C12" s="49"/>
      <c r="D12" s="93">
        <v>108</v>
      </c>
      <c r="E12" s="93">
        <v>3744</v>
      </c>
      <c r="F12" s="93" t="s">
        <v>79</v>
      </c>
      <c r="G12" s="93">
        <v>14</v>
      </c>
      <c r="H12" s="93" t="s">
        <v>79</v>
      </c>
      <c r="I12" s="94">
        <v>3929</v>
      </c>
      <c r="K12" s="116"/>
      <c r="L12" s="117"/>
      <c r="M12" s="117"/>
      <c r="N12" s="117"/>
      <c r="O12" s="117"/>
      <c r="P12" s="117"/>
      <c r="Q12" s="117"/>
    </row>
    <row r="13" spans="1:17">
      <c r="A13" s="56"/>
      <c r="B13" s="49" t="s">
        <v>69</v>
      </c>
      <c r="C13" s="49"/>
      <c r="D13" s="93">
        <v>11</v>
      </c>
      <c r="E13" s="93">
        <v>12</v>
      </c>
      <c r="F13" s="93" t="s">
        <v>80</v>
      </c>
      <c r="G13" s="93">
        <v>0</v>
      </c>
      <c r="H13" s="93" t="s">
        <v>79</v>
      </c>
      <c r="I13" s="94">
        <v>31</v>
      </c>
      <c r="K13" s="116"/>
      <c r="L13" s="117"/>
      <c r="M13" s="117"/>
      <c r="N13" s="117"/>
      <c r="O13" s="117"/>
      <c r="P13" s="117"/>
      <c r="Q13" s="117"/>
    </row>
    <row r="14" spans="1:17">
      <c r="A14" s="56"/>
      <c r="B14" s="49" t="s">
        <v>72</v>
      </c>
      <c r="C14" s="49"/>
      <c r="D14" s="93">
        <v>138</v>
      </c>
      <c r="E14" s="93">
        <v>161</v>
      </c>
      <c r="F14" s="93">
        <v>20</v>
      </c>
      <c r="G14" s="93">
        <v>5</v>
      </c>
      <c r="H14" s="93">
        <v>69</v>
      </c>
      <c r="I14" s="94">
        <v>393</v>
      </c>
      <c r="K14" s="116"/>
      <c r="L14" s="117"/>
      <c r="M14" s="117"/>
      <c r="N14" s="117"/>
      <c r="O14" s="117"/>
      <c r="P14" s="117"/>
      <c r="Q14" s="117"/>
    </row>
    <row r="15" spans="1:17">
      <c r="A15" s="58"/>
      <c r="B15" s="59" t="s">
        <v>65</v>
      </c>
      <c r="C15" s="59"/>
      <c r="D15" s="95">
        <v>2852.9999999999982</v>
      </c>
      <c r="E15" s="95">
        <v>4395.9999999999973</v>
      </c>
      <c r="F15" s="95">
        <v>139.99999999999994</v>
      </c>
      <c r="G15" s="95">
        <v>42.000000000000014</v>
      </c>
      <c r="H15" s="95">
        <v>1316</v>
      </c>
      <c r="I15" s="96">
        <v>8746.9999999999945</v>
      </c>
      <c r="J15" s="62"/>
      <c r="K15" s="116"/>
      <c r="L15" s="117"/>
      <c r="M15" s="117"/>
      <c r="N15" s="117"/>
      <c r="O15" s="117"/>
      <c r="P15" s="117"/>
      <c r="Q15" s="117"/>
    </row>
    <row r="16" spans="1:17">
      <c r="A16" s="56" t="s">
        <v>105</v>
      </c>
      <c r="B16" s="49" t="s">
        <v>67</v>
      </c>
      <c r="C16" s="49"/>
      <c r="D16" s="93">
        <v>60256</v>
      </c>
      <c r="E16" s="93">
        <v>3278</v>
      </c>
      <c r="F16" s="93">
        <v>2209</v>
      </c>
      <c r="G16" s="93">
        <v>377</v>
      </c>
      <c r="H16" s="93">
        <v>9994</v>
      </c>
      <c r="I16" s="94">
        <v>76114</v>
      </c>
    </row>
    <row r="17" spans="1:9">
      <c r="A17" s="56" t="s">
        <v>106</v>
      </c>
      <c r="B17" s="49" t="s">
        <v>129</v>
      </c>
      <c r="C17" s="49"/>
      <c r="D17" s="98"/>
      <c r="E17" s="98"/>
      <c r="F17" s="98"/>
      <c r="G17" s="98"/>
      <c r="H17" s="99"/>
      <c r="I17" s="100"/>
    </row>
    <row r="18" spans="1:9">
      <c r="A18" s="56"/>
      <c r="B18" s="49" t="s">
        <v>71</v>
      </c>
      <c r="C18" s="49"/>
      <c r="D18" s="93">
        <v>775</v>
      </c>
      <c r="E18" s="93">
        <v>73852</v>
      </c>
      <c r="F18" s="93">
        <v>680</v>
      </c>
      <c r="G18" s="93">
        <v>122</v>
      </c>
      <c r="H18" s="93">
        <v>501</v>
      </c>
      <c r="I18" s="94">
        <v>75930</v>
      </c>
    </row>
    <row r="19" spans="1:9">
      <c r="A19" s="56"/>
      <c r="B19" s="49" t="s">
        <v>69</v>
      </c>
      <c r="C19" s="49"/>
      <c r="D19" s="93">
        <v>1034</v>
      </c>
      <c r="E19" s="93">
        <v>589</v>
      </c>
      <c r="F19" s="93">
        <v>63</v>
      </c>
      <c r="G19" s="93">
        <v>19</v>
      </c>
      <c r="H19" s="93">
        <v>317</v>
      </c>
      <c r="I19" s="94">
        <v>2022</v>
      </c>
    </row>
    <row r="20" spans="1:9">
      <c r="A20" s="56"/>
      <c r="B20" s="49" t="s">
        <v>72</v>
      </c>
      <c r="C20" s="49"/>
      <c r="D20" s="93">
        <v>1631</v>
      </c>
      <c r="E20" s="93">
        <v>2000</v>
      </c>
      <c r="F20" s="93">
        <v>242</v>
      </c>
      <c r="G20" s="93">
        <v>43</v>
      </c>
      <c r="H20" s="93">
        <v>683</v>
      </c>
      <c r="I20" s="94">
        <v>4599</v>
      </c>
    </row>
    <row r="21" spans="1:9">
      <c r="A21" s="58"/>
      <c r="B21" s="59" t="s">
        <v>65</v>
      </c>
      <c r="C21" s="59"/>
      <c r="D21" s="95">
        <v>63696</v>
      </c>
      <c r="E21" s="95">
        <v>79719</v>
      </c>
      <c r="F21" s="95">
        <v>3194</v>
      </c>
      <c r="G21" s="95">
        <v>561</v>
      </c>
      <c r="H21" s="95">
        <v>11495</v>
      </c>
      <c r="I21" s="96">
        <v>158665</v>
      </c>
    </row>
    <row r="22" spans="1:9">
      <c r="A22" s="56" t="s">
        <v>107</v>
      </c>
      <c r="B22" s="49" t="s">
        <v>67</v>
      </c>
      <c r="C22" s="49"/>
      <c r="D22" s="93">
        <v>260</v>
      </c>
      <c r="E22" s="93">
        <v>21</v>
      </c>
      <c r="F22" s="93" t="s">
        <v>79</v>
      </c>
      <c r="G22" s="93" t="s">
        <v>80</v>
      </c>
      <c r="H22" s="93">
        <v>49</v>
      </c>
      <c r="I22" s="94">
        <v>344</v>
      </c>
    </row>
    <row r="23" spans="1:9">
      <c r="A23" s="56" t="s">
        <v>106</v>
      </c>
      <c r="B23" s="49" t="s">
        <v>81</v>
      </c>
      <c r="C23" s="49" t="s">
        <v>124</v>
      </c>
      <c r="D23" s="101">
        <v>0</v>
      </c>
      <c r="E23" s="102">
        <v>0</v>
      </c>
      <c r="F23" s="103">
        <v>0</v>
      </c>
      <c r="G23" s="102">
        <v>0</v>
      </c>
      <c r="H23" s="104">
        <v>0</v>
      </c>
      <c r="I23" s="105">
        <v>0</v>
      </c>
    </row>
    <row r="24" spans="1:9">
      <c r="A24" s="56"/>
      <c r="B24" s="49"/>
      <c r="C24" s="49" t="s">
        <v>125</v>
      </c>
      <c r="D24" s="93">
        <v>1530</v>
      </c>
      <c r="E24" s="93">
        <v>250</v>
      </c>
      <c r="F24" s="93" t="s">
        <v>79</v>
      </c>
      <c r="G24" s="93" t="s">
        <v>79</v>
      </c>
      <c r="H24" s="93">
        <v>278</v>
      </c>
      <c r="I24" s="94">
        <v>2134</v>
      </c>
    </row>
    <row r="25" spans="1:9">
      <c r="A25" s="58"/>
      <c r="B25" s="59" t="s">
        <v>65</v>
      </c>
      <c r="C25" s="59"/>
      <c r="D25" s="95">
        <v>1790</v>
      </c>
      <c r="E25" s="95">
        <v>271</v>
      </c>
      <c r="F25" s="95">
        <v>53</v>
      </c>
      <c r="G25" s="95">
        <v>37</v>
      </c>
      <c r="H25" s="95">
        <v>327</v>
      </c>
      <c r="I25" s="96">
        <v>2478</v>
      </c>
    </row>
    <row r="26" spans="1:9">
      <c r="A26" s="56" t="s">
        <v>108</v>
      </c>
      <c r="B26" s="49" t="s">
        <v>67</v>
      </c>
      <c r="C26" s="49"/>
      <c r="D26" s="93">
        <v>30660</v>
      </c>
      <c r="E26" s="93">
        <v>586</v>
      </c>
      <c r="F26" s="93">
        <v>1040</v>
      </c>
      <c r="G26" s="93">
        <v>82</v>
      </c>
      <c r="H26" s="93">
        <v>3328</v>
      </c>
      <c r="I26" s="94">
        <v>35696</v>
      </c>
    </row>
    <row r="27" spans="1:9">
      <c r="A27" s="56" t="s">
        <v>109</v>
      </c>
      <c r="B27" s="49" t="s">
        <v>129</v>
      </c>
      <c r="C27" s="49"/>
      <c r="D27" s="93"/>
      <c r="E27" s="93"/>
      <c r="F27" s="93"/>
      <c r="G27" s="93"/>
      <c r="H27" s="93"/>
      <c r="I27" s="94"/>
    </row>
    <row r="28" spans="1:9">
      <c r="A28" s="56" t="s">
        <v>110</v>
      </c>
      <c r="B28" s="49" t="s">
        <v>71</v>
      </c>
      <c r="C28" s="49"/>
      <c r="D28" s="93">
        <v>215</v>
      </c>
      <c r="E28" s="93">
        <v>42751</v>
      </c>
      <c r="F28" s="93">
        <v>52</v>
      </c>
      <c r="G28" s="93">
        <v>38</v>
      </c>
      <c r="H28" s="93">
        <v>156</v>
      </c>
      <c r="I28" s="94">
        <v>43212</v>
      </c>
    </row>
    <row r="29" spans="1:9">
      <c r="A29" s="56"/>
      <c r="B29" s="49" t="s">
        <v>69</v>
      </c>
      <c r="C29" s="49"/>
      <c r="D29" s="93">
        <v>1374</v>
      </c>
      <c r="E29" s="93">
        <v>358</v>
      </c>
      <c r="F29" s="93">
        <v>71</v>
      </c>
      <c r="G29" s="93">
        <v>15</v>
      </c>
      <c r="H29" s="93">
        <v>236</v>
      </c>
      <c r="I29" s="94">
        <v>2054</v>
      </c>
    </row>
    <row r="30" spans="1:9">
      <c r="A30" s="56"/>
      <c r="B30" s="49" t="s">
        <v>72</v>
      </c>
      <c r="C30" s="49"/>
      <c r="D30" s="93">
        <v>3441</v>
      </c>
      <c r="E30" s="93">
        <v>3894</v>
      </c>
      <c r="F30" s="93">
        <v>451</v>
      </c>
      <c r="G30" s="93">
        <v>80</v>
      </c>
      <c r="H30" s="93">
        <v>593</v>
      </c>
      <c r="I30" s="94">
        <v>8459</v>
      </c>
    </row>
    <row r="31" spans="1:9">
      <c r="A31" s="58"/>
      <c r="B31" s="59" t="s">
        <v>65</v>
      </c>
      <c r="C31" s="59"/>
      <c r="D31" s="95">
        <v>35690</v>
      </c>
      <c r="E31" s="95">
        <v>47589</v>
      </c>
      <c r="F31" s="95">
        <v>1614</v>
      </c>
      <c r="G31" s="95">
        <v>215</v>
      </c>
      <c r="H31" s="95">
        <v>4313</v>
      </c>
      <c r="I31" s="96">
        <v>89421</v>
      </c>
    </row>
    <row r="32" spans="1:9">
      <c r="A32" s="56" t="s">
        <v>111</v>
      </c>
      <c r="B32" s="49" t="s">
        <v>67</v>
      </c>
      <c r="C32" s="49"/>
      <c r="D32" s="93">
        <v>11732</v>
      </c>
      <c r="E32" s="93">
        <v>906</v>
      </c>
      <c r="F32" s="93">
        <v>826</v>
      </c>
      <c r="G32" s="93">
        <v>48</v>
      </c>
      <c r="H32" s="93">
        <v>1319</v>
      </c>
      <c r="I32" s="94">
        <v>14831</v>
      </c>
    </row>
    <row r="33" spans="1:10">
      <c r="A33" s="56" t="s">
        <v>112</v>
      </c>
      <c r="B33" s="49" t="s">
        <v>81</v>
      </c>
      <c r="C33" s="49" t="s">
        <v>124</v>
      </c>
      <c r="D33" s="93">
        <v>215</v>
      </c>
      <c r="E33" s="93">
        <v>27265</v>
      </c>
      <c r="F33" s="93">
        <v>68</v>
      </c>
      <c r="G33" s="93">
        <v>21</v>
      </c>
      <c r="H33" s="93">
        <v>60</v>
      </c>
      <c r="I33" s="94">
        <v>27629</v>
      </c>
    </row>
    <row r="34" spans="1:10">
      <c r="A34" s="56"/>
      <c r="B34" s="49"/>
      <c r="C34" s="49" t="s">
        <v>125</v>
      </c>
      <c r="D34" s="93">
        <v>14837</v>
      </c>
      <c r="E34" s="93">
        <v>2046</v>
      </c>
      <c r="F34" s="93">
        <v>826</v>
      </c>
      <c r="G34" s="93">
        <v>176</v>
      </c>
      <c r="H34" s="93">
        <v>2074</v>
      </c>
      <c r="I34" s="94">
        <v>19959</v>
      </c>
    </row>
    <row r="35" spans="1:10">
      <c r="A35" s="58"/>
      <c r="B35" s="59" t="s">
        <v>65</v>
      </c>
      <c r="C35" s="59"/>
      <c r="D35" s="95">
        <v>26784</v>
      </c>
      <c r="E35" s="95">
        <v>30217</v>
      </c>
      <c r="F35" s="95">
        <v>1720</v>
      </c>
      <c r="G35" s="95">
        <v>245</v>
      </c>
      <c r="H35" s="95">
        <v>3453</v>
      </c>
      <c r="I35" s="96">
        <v>62419</v>
      </c>
    </row>
    <row r="36" spans="1:10">
      <c r="A36" s="56" t="s">
        <v>86</v>
      </c>
      <c r="B36" s="49" t="s">
        <v>67</v>
      </c>
      <c r="C36" s="49"/>
      <c r="D36" s="93">
        <v>1715</v>
      </c>
      <c r="E36" s="93">
        <v>1681</v>
      </c>
      <c r="F36" s="93" t="s">
        <v>79</v>
      </c>
      <c r="G36" s="93" t="s">
        <v>79</v>
      </c>
      <c r="H36" s="93" t="s">
        <v>79</v>
      </c>
      <c r="I36" s="94">
        <v>4283</v>
      </c>
    </row>
    <row r="37" spans="1:10">
      <c r="A37" s="56"/>
      <c r="B37" s="49" t="s">
        <v>129</v>
      </c>
      <c r="C37" s="49"/>
      <c r="D37" s="93"/>
      <c r="E37" s="93"/>
      <c r="F37" s="93"/>
      <c r="G37" s="93"/>
      <c r="H37" s="93"/>
      <c r="I37" s="94"/>
    </row>
    <row r="38" spans="1:10">
      <c r="A38" s="56"/>
      <c r="B38" s="49" t="s">
        <v>71</v>
      </c>
      <c r="C38" s="49"/>
      <c r="D38" s="93">
        <v>29</v>
      </c>
      <c r="E38" s="93">
        <v>264</v>
      </c>
      <c r="F38" s="93" t="s">
        <v>80</v>
      </c>
      <c r="G38" s="93" t="s">
        <v>80</v>
      </c>
      <c r="H38" s="93" t="s">
        <v>79</v>
      </c>
      <c r="I38" s="94">
        <v>316</v>
      </c>
    </row>
    <row r="39" spans="1:10">
      <c r="A39" s="58"/>
      <c r="B39" s="59" t="s">
        <v>65</v>
      </c>
      <c r="C39" s="59"/>
      <c r="D39" s="95">
        <v>1744</v>
      </c>
      <c r="E39" s="95">
        <v>1945</v>
      </c>
      <c r="F39" s="95">
        <v>65</v>
      </c>
      <c r="G39" s="95">
        <v>15</v>
      </c>
      <c r="H39" s="95">
        <v>830</v>
      </c>
      <c r="I39" s="96">
        <v>4599</v>
      </c>
    </row>
    <row r="40" spans="1:10" ht="28.5" customHeight="1" thickBot="1">
      <c r="A40" s="71" t="s">
        <v>122</v>
      </c>
      <c r="B40" s="72"/>
      <c r="C40" s="106"/>
      <c r="D40" s="107">
        <v>135094</v>
      </c>
      <c r="E40" s="107">
        <v>166921</v>
      </c>
      <c r="F40" s="107">
        <v>6878</v>
      </c>
      <c r="G40" s="107">
        <v>1151</v>
      </c>
      <c r="H40" s="107">
        <v>22460</v>
      </c>
      <c r="I40" s="108">
        <v>332504</v>
      </c>
    </row>
    <row r="41" spans="1:10" ht="13.5" thickTop="1">
      <c r="A41" s="49"/>
      <c r="C41" s="49"/>
      <c r="D41" s="97"/>
      <c r="E41" s="97"/>
      <c r="F41" s="97"/>
      <c r="G41" s="97"/>
      <c r="H41" s="97"/>
      <c r="I41" s="97"/>
    </row>
    <row r="42" spans="1:10">
      <c r="A42" s="40" t="s">
        <v>90</v>
      </c>
    </row>
    <row r="43" spans="1:10" ht="14.25">
      <c r="A43" s="75" t="s">
        <v>120</v>
      </c>
    </row>
    <row r="44" spans="1:10" ht="14.25">
      <c r="A44" s="75" t="s">
        <v>130</v>
      </c>
    </row>
    <row r="45" spans="1:10" ht="14.25">
      <c r="A45" s="75" t="s">
        <v>150</v>
      </c>
    </row>
    <row r="48" spans="1:10">
      <c r="J48" s="92"/>
    </row>
  </sheetData>
  <mergeCells count="6">
    <mergeCell ref="I4:I6"/>
    <mergeCell ref="D4:D6"/>
    <mergeCell ref="E4:E6"/>
    <mergeCell ref="F4:F6"/>
    <mergeCell ref="G4:G6"/>
    <mergeCell ref="H4:H6"/>
  </mergeCells>
  <pageMargins left="0.75000000000000011" right="0.75000000000000011"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5"/>
  <sheetViews>
    <sheetView workbookViewId="0"/>
  </sheetViews>
  <sheetFormatPr defaultRowHeight="12.75"/>
  <cols>
    <col min="1" max="1" width="21.28515625" customWidth="1"/>
    <col min="2" max="2" width="27.140625" customWidth="1"/>
    <col min="3" max="3" width="36.7109375" customWidth="1"/>
    <col min="4" max="4" width="10.140625" customWidth="1"/>
    <col min="5" max="5" width="15.42578125" customWidth="1"/>
    <col min="6" max="6" width="14.5703125" customWidth="1"/>
    <col min="7" max="7" width="13.140625" customWidth="1"/>
    <col min="8" max="8" width="12.7109375" customWidth="1"/>
    <col min="9" max="9" width="9.140625" customWidth="1"/>
  </cols>
  <sheetData>
    <row r="1" spans="1:17" s="118" customFormat="1" ht="18">
      <c r="A1" s="118" t="s">
        <v>151</v>
      </c>
    </row>
    <row r="2" spans="1:17" s="118" customFormat="1" ht="18">
      <c r="A2" s="118" t="s">
        <v>56</v>
      </c>
    </row>
    <row r="3" spans="1:17" ht="13.5" customHeight="1" thickBot="1"/>
    <row r="4" spans="1:17" s="123" customFormat="1" ht="14.25" thickTop="1" thickBot="1">
      <c r="A4" s="119"/>
      <c r="B4" s="120"/>
      <c r="C4" s="120"/>
      <c r="D4" s="121" t="s">
        <v>58</v>
      </c>
      <c r="E4" s="121" t="s">
        <v>133</v>
      </c>
      <c r="F4" s="121" t="s">
        <v>116</v>
      </c>
      <c r="G4" s="121" t="s">
        <v>117</v>
      </c>
      <c r="H4" s="443" t="s">
        <v>127</v>
      </c>
      <c r="I4" s="122" t="s">
        <v>61</v>
      </c>
    </row>
    <row r="5" spans="1:17" s="123" customFormat="1" ht="14.25" thickTop="1" thickBot="1">
      <c r="A5" s="124"/>
      <c r="B5" s="125"/>
      <c r="C5" s="125"/>
      <c r="D5" s="126"/>
      <c r="E5" s="126"/>
      <c r="F5" s="126"/>
      <c r="G5" s="126"/>
      <c r="H5" s="443"/>
      <c r="I5" s="127"/>
    </row>
    <row r="6" spans="1:17" s="123" customFormat="1" ht="13.5" thickTop="1">
      <c r="A6" s="128"/>
      <c r="B6" s="129"/>
      <c r="C6" s="129"/>
      <c r="D6" s="130"/>
      <c r="E6" s="130"/>
      <c r="F6" s="130"/>
      <c r="G6" s="130"/>
      <c r="H6" s="443"/>
      <c r="I6" s="131"/>
    </row>
    <row r="7" spans="1:17">
      <c r="A7" s="132" t="s">
        <v>66</v>
      </c>
      <c r="B7" s="1" t="s">
        <v>67</v>
      </c>
      <c r="C7" s="1"/>
      <c r="D7" s="133">
        <v>2539</v>
      </c>
      <c r="E7" s="133">
        <v>1096</v>
      </c>
      <c r="F7" s="133" t="s">
        <v>79</v>
      </c>
      <c r="G7" s="133" t="s">
        <v>79</v>
      </c>
      <c r="H7" s="133">
        <v>534</v>
      </c>
      <c r="I7" s="134">
        <v>4329</v>
      </c>
      <c r="K7" s="135"/>
      <c r="L7" s="117"/>
      <c r="M7" s="117"/>
      <c r="N7" s="117"/>
      <c r="O7" s="117"/>
      <c r="P7" s="117"/>
      <c r="Q7" s="117"/>
    </row>
    <row r="8" spans="1:17">
      <c r="A8" s="132"/>
      <c r="B8" s="1" t="s">
        <v>68</v>
      </c>
      <c r="C8" s="1"/>
      <c r="D8" s="133">
        <v>47</v>
      </c>
      <c r="E8" s="133">
        <v>1627</v>
      </c>
      <c r="F8" s="136" t="s">
        <v>80</v>
      </c>
      <c r="G8" s="133" t="s">
        <v>79</v>
      </c>
      <c r="H8" s="133">
        <v>109</v>
      </c>
      <c r="I8" s="134">
        <v>1792</v>
      </c>
      <c r="K8" s="135"/>
      <c r="L8" s="117"/>
      <c r="M8" s="117"/>
      <c r="N8" s="117"/>
      <c r="O8" s="117"/>
      <c r="P8" s="117"/>
      <c r="Q8" s="117"/>
    </row>
    <row r="9" spans="1:17">
      <c r="A9" s="137"/>
      <c r="B9" s="138" t="s">
        <v>65</v>
      </c>
      <c r="C9" s="138"/>
      <c r="D9" s="139">
        <v>2586</v>
      </c>
      <c r="E9" s="139">
        <v>2723</v>
      </c>
      <c r="F9" s="139">
        <v>129</v>
      </c>
      <c r="G9" s="139">
        <v>40</v>
      </c>
      <c r="H9" s="139">
        <v>643</v>
      </c>
      <c r="I9" s="140">
        <v>6121</v>
      </c>
      <c r="K9" s="135"/>
      <c r="L9" s="117"/>
      <c r="M9" s="117"/>
      <c r="N9" s="117"/>
      <c r="O9" s="117"/>
      <c r="P9" s="117"/>
      <c r="Q9" s="117"/>
    </row>
    <row r="10" spans="1:17" ht="14.25">
      <c r="A10" s="132" t="s">
        <v>103</v>
      </c>
      <c r="B10" s="1" t="s">
        <v>142</v>
      </c>
      <c r="C10" s="1"/>
      <c r="D10" s="133">
        <v>2633.9999999999995</v>
      </c>
      <c r="E10" s="133">
        <v>481.0000000000004</v>
      </c>
      <c r="F10" s="133">
        <v>105</v>
      </c>
      <c r="G10" s="133">
        <v>22</v>
      </c>
      <c r="H10" s="133">
        <v>1117.9999999999995</v>
      </c>
      <c r="I10" s="134">
        <v>4359.9999999999982</v>
      </c>
      <c r="K10" s="135"/>
      <c r="L10" s="117"/>
      <c r="M10" s="117"/>
      <c r="N10" s="117"/>
      <c r="O10" s="117"/>
      <c r="P10" s="117"/>
      <c r="Q10" s="117"/>
    </row>
    <row r="11" spans="1:17">
      <c r="A11" s="132" t="s">
        <v>104</v>
      </c>
      <c r="B11" s="1" t="s">
        <v>129</v>
      </c>
      <c r="C11" s="1"/>
      <c r="D11" s="133"/>
      <c r="E11" s="133"/>
      <c r="F11" s="133"/>
      <c r="G11" s="133"/>
      <c r="H11" s="133"/>
      <c r="I11" s="134"/>
      <c r="K11" s="135"/>
      <c r="L11" s="117"/>
      <c r="M11" s="117"/>
      <c r="N11" s="117"/>
      <c r="O11" s="117"/>
      <c r="P11" s="117"/>
      <c r="Q11" s="117"/>
    </row>
    <row r="12" spans="1:17">
      <c r="A12" s="132"/>
      <c r="B12" s="1" t="s">
        <v>71</v>
      </c>
      <c r="C12" s="1"/>
      <c r="D12" s="133">
        <v>95</v>
      </c>
      <c r="E12" s="133">
        <v>3741</v>
      </c>
      <c r="F12" s="133">
        <v>11</v>
      </c>
      <c r="G12" s="133" t="s">
        <v>79</v>
      </c>
      <c r="H12" s="133" t="s">
        <v>79</v>
      </c>
      <c r="I12" s="134">
        <v>3947</v>
      </c>
      <c r="K12" s="135"/>
      <c r="L12" s="117"/>
      <c r="M12" s="117"/>
      <c r="N12" s="117"/>
      <c r="O12" s="117"/>
      <c r="P12" s="117"/>
      <c r="Q12" s="117"/>
    </row>
    <row r="13" spans="1:17">
      <c r="A13" s="132"/>
      <c r="B13" s="1" t="s">
        <v>69</v>
      </c>
      <c r="C13" s="1"/>
      <c r="D13" s="133">
        <v>7</v>
      </c>
      <c r="E13" s="133">
        <v>5</v>
      </c>
      <c r="F13" s="133">
        <v>0</v>
      </c>
      <c r="G13" s="141" t="s">
        <v>80</v>
      </c>
      <c r="H13" s="133" t="s">
        <v>79</v>
      </c>
      <c r="I13" s="134">
        <v>18</v>
      </c>
      <c r="K13" s="135"/>
      <c r="L13" s="117"/>
      <c r="M13" s="117"/>
      <c r="N13" s="117"/>
      <c r="O13" s="117"/>
      <c r="P13" s="117"/>
      <c r="Q13" s="117"/>
    </row>
    <row r="14" spans="1:17">
      <c r="A14" s="132"/>
      <c r="B14" s="1" t="s">
        <v>72</v>
      </c>
      <c r="C14" s="1"/>
      <c r="D14" s="133">
        <v>122</v>
      </c>
      <c r="E14" s="133">
        <v>172</v>
      </c>
      <c r="F14" s="133">
        <v>16</v>
      </c>
      <c r="G14" s="133" t="s">
        <v>80</v>
      </c>
      <c r="H14" s="133" t="s">
        <v>79</v>
      </c>
      <c r="I14" s="134">
        <v>388</v>
      </c>
      <c r="K14" s="135"/>
      <c r="L14" s="117"/>
      <c r="M14" s="117"/>
      <c r="N14" s="117"/>
      <c r="O14" s="117"/>
      <c r="P14" s="117"/>
      <c r="Q14" s="117"/>
    </row>
    <row r="15" spans="1:17">
      <c r="A15" s="137"/>
      <c r="B15" s="138" t="s">
        <v>65</v>
      </c>
      <c r="C15" s="138"/>
      <c r="D15" s="139">
        <v>2858</v>
      </c>
      <c r="E15" s="139">
        <v>4399</v>
      </c>
      <c r="F15" s="139">
        <v>132</v>
      </c>
      <c r="G15" s="139">
        <v>40</v>
      </c>
      <c r="H15" s="139">
        <v>1283.9999999999995</v>
      </c>
      <c r="I15" s="140">
        <v>8713</v>
      </c>
      <c r="J15" s="142"/>
    </row>
    <row r="16" spans="1:17">
      <c r="A16" s="132" t="s">
        <v>105</v>
      </c>
      <c r="B16" s="1" t="s">
        <v>67</v>
      </c>
      <c r="C16" s="1"/>
      <c r="D16" s="133">
        <v>61152</v>
      </c>
      <c r="E16" s="133">
        <v>3256</v>
      </c>
      <c r="F16" s="133">
        <v>2013</v>
      </c>
      <c r="G16" s="133">
        <v>386</v>
      </c>
      <c r="H16" s="133">
        <v>10629</v>
      </c>
      <c r="I16" s="143">
        <v>77436</v>
      </c>
    </row>
    <row r="17" spans="1:9">
      <c r="A17" s="132" t="s">
        <v>106</v>
      </c>
      <c r="B17" s="1" t="s">
        <v>129</v>
      </c>
      <c r="C17" s="1"/>
      <c r="D17" s="144"/>
      <c r="E17" s="144"/>
      <c r="F17" s="144"/>
      <c r="G17" s="144"/>
      <c r="H17" s="145"/>
      <c r="I17" s="146"/>
    </row>
    <row r="18" spans="1:9">
      <c r="A18" s="132"/>
      <c r="B18" s="1" t="s">
        <v>71</v>
      </c>
      <c r="C18" s="1"/>
      <c r="D18" s="133">
        <v>785</v>
      </c>
      <c r="E18" s="133">
        <v>74626</v>
      </c>
      <c r="F18" s="133">
        <v>97</v>
      </c>
      <c r="G18" s="133">
        <v>121</v>
      </c>
      <c r="H18" s="133">
        <v>1252</v>
      </c>
      <c r="I18" s="134">
        <v>76881</v>
      </c>
    </row>
    <row r="19" spans="1:9">
      <c r="A19" s="132"/>
      <c r="B19" s="1" t="s">
        <v>69</v>
      </c>
      <c r="C19" s="1"/>
      <c r="D19" s="133">
        <v>1044</v>
      </c>
      <c r="E19" s="133">
        <v>574</v>
      </c>
      <c r="F19" s="133">
        <v>67</v>
      </c>
      <c r="G19" s="133">
        <v>18</v>
      </c>
      <c r="H19" s="133">
        <v>275</v>
      </c>
      <c r="I19" s="134">
        <v>1978</v>
      </c>
    </row>
    <row r="20" spans="1:9">
      <c r="A20" s="132"/>
      <c r="B20" s="1" t="s">
        <v>72</v>
      </c>
      <c r="C20" s="1"/>
      <c r="D20" s="133">
        <v>1622</v>
      </c>
      <c r="E20" s="133">
        <v>1920</v>
      </c>
      <c r="F20" s="133">
        <v>172</v>
      </c>
      <c r="G20" s="133">
        <v>42</v>
      </c>
      <c r="H20" s="133">
        <v>658</v>
      </c>
      <c r="I20" s="134">
        <v>4414</v>
      </c>
    </row>
    <row r="21" spans="1:9">
      <c r="A21" s="137"/>
      <c r="B21" s="138" t="s">
        <v>65</v>
      </c>
      <c r="C21" s="138"/>
      <c r="D21" s="139">
        <v>64603</v>
      </c>
      <c r="E21" s="139">
        <v>80376</v>
      </c>
      <c r="F21" s="139">
        <v>2349</v>
      </c>
      <c r="G21" s="139">
        <v>567</v>
      </c>
      <c r="H21" s="139">
        <v>12814</v>
      </c>
      <c r="I21" s="140">
        <v>160709</v>
      </c>
    </row>
    <row r="22" spans="1:9">
      <c r="A22" s="132" t="s">
        <v>107</v>
      </c>
      <c r="B22" s="1" t="s">
        <v>67</v>
      </c>
      <c r="C22" s="1"/>
      <c r="D22" s="133">
        <v>280</v>
      </c>
      <c r="E22" s="133">
        <v>24</v>
      </c>
      <c r="F22" s="133" t="s">
        <v>79</v>
      </c>
      <c r="G22" s="133" t="s">
        <v>80</v>
      </c>
      <c r="H22" s="133">
        <v>50</v>
      </c>
      <c r="I22" s="134">
        <v>363</v>
      </c>
    </row>
    <row r="23" spans="1:9">
      <c r="A23" s="132" t="s">
        <v>106</v>
      </c>
      <c r="B23" s="1" t="s">
        <v>81</v>
      </c>
      <c r="C23" s="1" t="s">
        <v>124</v>
      </c>
      <c r="D23" s="147">
        <v>0</v>
      </c>
      <c r="E23" s="148">
        <v>0</v>
      </c>
      <c r="F23" s="149">
        <v>0</v>
      </c>
      <c r="G23" s="148">
        <v>0</v>
      </c>
      <c r="H23" s="150">
        <v>0</v>
      </c>
      <c r="I23" s="151">
        <v>0</v>
      </c>
    </row>
    <row r="24" spans="1:9">
      <c r="A24" s="132"/>
      <c r="B24" s="1"/>
      <c r="C24" s="1" t="s">
        <v>125</v>
      </c>
      <c r="D24" s="133">
        <v>1443</v>
      </c>
      <c r="E24" s="133">
        <v>238</v>
      </c>
      <c r="F24" s="133" t="s">
        <v>79</v>
      </c>
      <c r="G24" s="133" t="s">
        <v>79</v>
      </c>
      <c r="H24" s="133">
        <v>339</v>
      </c>
      <c r="I24" s="134">
        <v>2148</v>
      </c>
    </row>
    <row r="25" spans="1:9">
      <c r="A25" s="137"/>
      <c r="B25" s="138" t="s">
        <v>65</v>
      </c>
      <c r="C25" s="138"/>
      <c r="D25" s="139">
        <v>1723</v>
      </c>
      <c r="E25" s="139">
        <v>262</v>
      </c>
      <c r="F25" s="139">
        <v>102</v>
      </c>
      <c r="G25" s="139">
        <v>35</v>
      </c>
      <c r="H25" s="139">
        <v>389</v>
      </c>
      <c r="I25" s="140">
        <v>2511</v>
      </c>
    </row>
    <row r="26" spans="1:9">
      <c r="A26" s="132" t="s">
        <v>108</v>
      </c>
      <c r="B26" s="1" t="s">
        <v>67</v>
      </c>
      <c r="C26" s="1"/>
      <c r="D26" s="133">
        <v>31478</v>
      </c>
      <c r="E26" s="133">
        <v>612</v>
      </c>
      <c r="F26" s="133">
        <v>951</v>
      </c>
      <c r="G26" s="133">
        <v>68</v>
      </c>
      <c r="H26" s="133">
        <v>3289</v>
      </c>
      <c r="I26" s="134">
        <v>36398</v>
      </c>
    </row>
    <row r="27" spans="1:9">
      <c r="A27" s="132" t="s">
        <v>109</v>
      </c>
      <c r="B27" s="1" t="s">
        <v>129</v>
      </c>
      <c r="C27" s="1"/>
      <c r="D27" s="133"/>
      <c r="E27" s="133"/>
      <c r="F27" s="133"/>
      <c r="G27" s="133"/>
      <c r="H27" s="133"/>
      <c r="I27" s="134"/>
    </row>
    <row r="28" spans="1:9">
      <c r="A28" s="132" t="s">
        <v>110</v>
      </c>
      <c r="B28" s="1" t="s">
        <v>71</v>
      </c>
      <c r="C28" s="1"/>
      <c r="D28" s="133">
        <v>180</v>
      </c>
      <c r="E28" s="133">
        <v>42980</v>
      </c>
      <c r="F28" s="133">
        <v>60</v>
      </c>
      <c r="G28" s="133">
        <v>36</v>
      </c>
      <c r="H28" s="133">
        <v>132</v>
      </c>
      <c r="I28" s="134">
        <v>43388</v>
      </c>
    </row>
    <row r="29" spans="1:9">
      <c r="A29" s="132"/>
      <c r="B29" s="1" t="s">
        <v>69</v>
      </c>
      <c r="C29" s="1"/>
      <c r="D29" s="133">
        <v>1362</v>
      </c>
      <c r="E29" s="133">
        <v>354</v>
      </c>
      <c r="F29" s="133">
        <v>71</v>
      </c>
      <c r="G29" s="133">
        <v>15</v>
      </c>
      <c r="H29" s="133">
        <v>243</v>
      </c>
      <c r="I29" s="134">
        <v>2045</v>
      </c>
    </row>
    <row r="30" spans="1:9">
      <c r="A30" s="132"/>
      <c r="B30" s="1" t="s">
        <v>72</v>
      </c>
      <c r="C30" s="1"/>
      <c r="D30" s="133">
        <v>3369</v>
      </c>
      <c r="E30" s="133">
        <v>3812</v>
      </c>
      <c r="F30" s="133">
        <v>475</v>
      </c>
      <c r="G30" s="133">
        <v>70</v>
      </c>
      <c r="H30" s="133">
        <v>528</v>
      </c>
      <c r="I30" s="134">
        <v>8254</v>
      </c>
    </row>
    <row r="31" spans="1:9">
      <c r="A31" s="137"/>
      <c r="B31" s="138" t="s">
        <v>65</v>
      </c>
      <c r="C31" s="138"/>
      <c r="D31" s="139">
        <v>36389</v>
      </c>
      <c r="E31" s="139">
        <v>47758</v>
      </c>
      <c r="F31" s="139">
        <v>1557</v>
      </c>
      <c r="G31" s="139">
        <v>189</v>
      </c>
      <c r="H31" s="139">
        <v>4192</v>
      </c>
      <c r="I31" s="140">
        <v>90085</v>
      </c>
    </row>
    <row r="32" spans="1:9">
      <c r="A32" s="132" t="s">
        <v>111</v>
      </c>
      <c r="B32" s="1" t="s">
        <v>67</v>
      </c>
      <c r="C32" s="1"/>
      <c r="D32" s="133">
        <v>11943</v>
      </c>
      <c r="E32" s="133">
        <v>898</v>
      </c>
      <c r="F32" s="133">
        <v>794</v>
      </c>
      <c r="G32" s="133">
        <v>47</v>
      </c>
      <c r="H32" s="133">
        <v>1176</v>
      </c>
      <c r="I32" s="134">
        <v>14858</v>
      </c>
    </row>
    <row r="33" spans="1:9">
      <c r="A33" s="132" t="s">
        <v>112</v>
      </c>
      <c r="B33" s="1" t="s">
        <v>81</v>
      </c>
      <c r="C33" s="1" t="s">
        <v>124</v>
      </c>
      <c r="D33" s="133">
        <v>189</v>
      </c>
      <c r="E33" s="133">
        <v>28105</v>
      </c>
      <c r="F33" s="133">
        <v>60</v>
      </c>
      <c r="G33" s="133">
        <v>16</v>
      </c>
      <c r="H33" s="133">
        <v>36</v>
      </c>
      <c r="I33" s="134">
        <v>28406</v>
      </c>
    </row>
    <row r="34" spans="1:9">
      <c r="A34" s="132"/>
      <c r="B34" s="1"/>
      <c r="C34" s="1" t="s">
        <v>125</v>
      </c>
      <c r="D34" s="133">
        <v>15032</v>
      </c>
      <c r="E34" s="133">
        <v>2008</v>
      </c>
      <c r="F34" s="133">
        <v>782</v>
      </c>
      <c r="G34" s="133">
        <v>149</v>
      </c>
      <c r="H34" s="133">
        <v>2129</v>
      </c>
      <c r="I34" s="134">
        <v>20100</v>
      </c>
    </row>
    <row r="35" spans="1:9">
      <c r="A35" s="137"/>
      <c r="B35" s="138" t="s">
        <v>65</v>
      </c>
      <c r="C35" s="138"/>
      <c r="D35" s="139">
        <v>27164</v>
      </c>
      <c r="E35" s="139">
        <v>31011</v>
      </c>
      <c r="F35" s="139">
        <v>1636</v>
      </c>
      <c r="G35" s="139">
        <v>212</v>
      </c>
      <c r="H35" s="139">
        <v>3341</v>
      </c>
      <c r="I35" s="140">
        <v>63364</v>
      </c>
    </row>
    <row r="36" spans="1:9">
      <c r="A36" s="132" t="s">
        <v>86</v>
      </c>
      <c r="B36" s="1" t="s">
        <v>67</v>
      </c>
      <c r="C36" s="1"/>
      <c r="D36" s="133">
        <v>1674</v>
      </c>
      <c r="E36" s="133">
        <v>1669</v>
      </c>
      <c r="F36" s="133" t="s">
        <v>79</v>
      </c>
      <c r="G36" s="133" t="s">
        <v>79</v>
      </c>
      <c r="H36" s="133" t="s">
        <v>79</v>
      </c>
      <c r="I36" s="134">
        <v>4353</v>
      </c>
    </row>
    <row r="37" spans="1:9">
      <c r="A37" s="132"/>
      <c r="B37" s="1" t="s">
        <v>129</v>
      </c>
      <c r="C37" s="1"/>
      <c r="D37" s="133"/>
      <c r="E37" s="133"/>
      <c r="F37" s="133"/>
      <c r="G37" s="133"/>
      <c r="H37" s="133"/>
      <c r="I37" s="134"/>
    </row>
    <row r="38" spans="1:9">
      <c r="A38" s="132"/>
      <c r="B38" s="1" t="s">
        <v>71</v>
      </c>
      <c r="C38" s="1"/>
      <c r="D38" s="133">
        <v>40</v>
      </c>
      <c r="E38" s="133">
        <v>269</v>
      </c>
      <c r="F38" s="133" t="s">
        <v>80</v>
      </c>
      <c r="G38" s="136" t="s">
        <v>80</v>
      </c>
      <c r="H38" s="133" t="s">
        <v>79</v>
      </c>
      <c r="I38" s="134">
        <v>316</v>
      </c>
    </row>
    <row r="39" spans="1:9">
      <c r="A39" s="137"/>
      <c r="B39" s="138" t="s">
        <v>65</v>
      </c>
      <c r="C39" s="138"/>
      <c r="D39" s="139">
        <v>1714</v>
      </c>
      <c r="E39" s="139">
        <v>1938</v>
      </c>
      <c r="F39" s="139">
        <v>54</v>
      </c>
      <c r="G39" s="139">
        <v>13</v>
      </c>
      <c r="H39" s="139">
        <v>950</v>
      </c>
      <c r="I39" s="140">
        <v>4669</v>
      </c>
    </row>
    <row r="40" spans="1:9" ht="18.75" customHeight="1" thickBot="1">
      <c r="A40" s="152" t="s">
        <v>122</v>
      </c>
      <c r="B40" s="153"/>
      <c r="C40" s="154"/>
      <c r="D40" s="155">
        <v>137037</v>
      </c>
      <c r="E40" s="155">
        <v>168467</v>
      </c>
      <c r="F40" s="155">
        <v>5959</v>
      </c>
      <c r="G40" s="155">
        <v>1096</v>
      </c>
      <c r="H40" s="155">
        <v>23613</v>
      </c>
      <c r="I40" s="156">
        <v>336172</v>
      </c>
    </row>
    <row r="41" spans="1:9" ht="13.5" thickTop="1">
      <c r="A41" s="1"/>
      <c r="C41" s="1"/>
      <c r="D41" s="157"/>
      <c r="E41" s="157"/>
      <c r="F41" s="157"/>
      <c r="G41" s="157"/>
      <c r="H41" s="157"/>
      <c r="I41" s="157"/>
    </row>
    <row r="42" spans="1:9">
      <c r="A42" t="s">
        <v>90</v>
      </c>
      <c r="C42" t="s">
        <v>152</v>
      </c>
      <c r="D42" s="142"/>
      <c r="E42" s="142"/>
      <c r="F42" s="142"/>
      <c r="G42" s="142"/>
      <c r="H42" s="142"/>
      <c r="I42" s="142"/>
    </row>
    <row r="43" spans="1:9" ht="14.25">
      <c r="A43" s="158" t="s">
        <v>120</v>
      </c>
    </row>
    <row r="44" spans="1:9" ht="14.25">
      <c r="A44" s="158" t="s">
        <v>130</v>
      </c>
    </row>
    <row r="45" spans="1:9" ht="14.25">
      <c r="A45" s="75" t="s">
        <v>150</v>
      </c>
    </row>
  </sheetData>
  <mergeCells count="1">
    <mergeCell ref="H4:H6"/>
  </mergeCells>
  <pageMargins left="0.75000000000000011" right="0.75000000000000011"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1"/>
  <sheetViews>
    <sheetView workbookViewId="0"/>
  </sheetViews>
  <sheetFormatPr defaultRowHeight="12.75"/>
  <cols>
    <col min="1" max="1" width="21.28515625" customWidth="1"/>
    <col min="2" max="2" width="27.140625" customWidth="1"/>
    <col min="3" max="3" width="36.7109375" customWidth="1"/>
    <col min="4" max="4" width="10.140625" customWidth="1"/>
    <col min="5" max="5" width="15.42578125" customWidth="1"/>
    <col min="6" max="6" width="14.5703125" customWidth="1"/>
    <col min="7" max="7" width="13.140625" customWidth="1"/>
    <col min="8" max="8" width="12.7109375" customWidth="1"/>
    <col min="9" max="9" width="9.140625" customWidth="1"/>
  </cols>
  <sheetData>
    <row r="1" spans="1:17" s="118" customFormat="1" ht="18">
      <c r="A1" s="118" t="s">
        <v>153</v>
      </c>
    </row>
    <row r="2" spans="1:17" s="118" customFormat="1" ht="18">
      <c r="A2" s="118" t="s">
        <v>56</v>
      </c>
    </row>
    <row r="3" spans="1:17" ht="13.5" customHeight="1" thickBot="1"/>
    <row r="4" spans="1:17" s="123" customFormat="1" ht="14.25" thickTop="1" thickBot="1">
      <c r="A4" s="119"/>
      <c r="B4" s="120"/>
      <c r="C4" s="120"/>
      <c r="D4" s="121" t="s">
        <v>58</v>
      </c>
      <c r="E4" s="121" t="s">
        <v>133</v>
      </c>
      <c r="F4" s="121" t="s">
        <v>116</v>
      </c>
      <c r="G4" s="121" t="s">
        <v>117</v>
      </c>
      <c r="H4" s="443" t="s">
        <v>127</v>
      </c>
      <c r="I4" s="122" t="s">
        <v>61</v>
      </c>
    </row>
    <row r="5" spans="1:17" s="123" customFormat="1" ht="14.25" thickTop="1" thickBot="1">
      <c r="A5" s="124"/>
      <c r="B5" s="125"/>
      <c r="C5" s="125"/>
      <c r="D5" s="126"/>
      <c r="E5" s="126"/>
      <c r="F5" s="126"/>
      <c r="G5" s="126"/>
      <c r="H5" s="443"/>
      <c r="I5" s="127"/>
    </row>
    <row r="6" spans="1:17" s="123" customFormat="1" ht="13.5" thickTop="1">
      <c r="A6" s="128"/>
      <c r="B6" s="129"/>
      <c r="C6" s="129"/>
      <c r="D6" s="130"/>
      <c r="E6" s="130"/>
      <c r="F6" s="130"/>
      <c r="G6" s="130"/>
      <c r="H6" s="443"/>
      <c r="I6" s="131"/>
    </row>
    <row r="7" spans="1:17">
      <c r="A7" s="132" t="s">
        <v>66</v>
      </c>
      <c r="B7" s="1" t="s">
        <v>67</v>
      </c>
      <c r="C7" s="1"/>
      <c r="D7" s="133">
        <v>2642</v>
      </c>
      <c r="E7" s="133">
        <v>1226</v>
      </c>
      <c r="F7" s="133">
        <v>105</v>
      </c>
      <c r="G7" s="133">
        <v>23</v>
      </c>
      <c r="H7" s="133">
        <v>468</v>
      </c>
      <c r="I7" s="134">
        <f>SUM(D7:H7)</f>
        <v>4464</v>
      </c>
    </row>
    <row r="8" spans="1:17">
      <c r="A8" s="132"/>
      <c r="B8" s="1" t="s">
        <v>68</v>
      </c>
      <c r="C8" s="1"/>
      <c r="D8" s="133">
        <v>35</v>
      </c>
      <c r="E8" s="133">
        <v>1627</v>
      </c>
      <c r="F8" s="136">
        <v>0</v>
      </c>
      <c r="G8" s="133">
        <v>10</v>
      </c>
      <c r="H8" s="133">
        <v>102</v>
      </c>
      <c r="I8" s="134">
        <f>SUM(D8:H8)</f>
        <v>1774</v>
      </c>
    </row>
    <row r="9" spans="1:17">
      <c r="A9" s="137"/>
      <c r="B9" s="138" t="s">
        <v>65</v>
      </c>
      <c r="C9" s="138"/>
      <c r="D9" s="139">
        <f>SUM(D7+D8)</f>
        <v>2677</v>
      </c>
      <c r="E9" s="139">
        <f>SUM(E7+E8)</f>
        <v>2853</v>
      </c>
      <c r="F9" s="139">
        <f>SUM(F7:F8)</f>
        <v>105</v>
      </c>
      <c r="G9" s="139">
        <f>SUM(G7:G8)</f>
        <v>33</v>
      </c>
      <c r="H9" s="139">
        <f>SUM(H7+H8)</f>
        <v>570</v>
      </c>
      <c r="I9" s="140">
        <f>SUM(I7+I8)</f>
        <v>6238</v>
      </c>
      <c r="L9" s="117"/>
      <c r="M9" s="117"/>
      <c r="N9" s="117"/>
      <c r="O9" s="117"/>
      <c r="P9" s="117"/>
      <c r="Q9" s="117"/>
    </row>
    <row r="10" spans="1:17" ht="14.25">
      <c r="A10" s="132" t="s">
        <v>103</v>
      </c>
      <c r="B10" s="1" t="s">
        <v>142</v>
      </c>
      <c r="C10" s="1"/>
      <c r="D10" s="133">
        <v>2707</v>
      </c>
      <c r="E10" s="133">
        <v>435.99999999999994</v>
      </c>
      <c r="F10" s="133">
        <v>65.000000000000028</v>
      </c>
      <c r="G10" s="133">
        <v>25.000000000000014</v>
      </c>
      <c r="H10" s="133">
        <v>1069.0000000000005</v>
      </c>
      <c r="I10" s="134">
        <v>4301.9999999999991</v>
      </c>
      <c r="L10" s="117"/>
      <c r="M10" s="117"/>
      <c r="N10" s="117"/>
      <c r="O10" s="117"/>
      <c r="P10" s="117"/>
      <c r="Q10" s="117"/>
    </row>
    <row r="11" spans="1:17">
      <c r="A11" s="132" t="s">
        <v>104</v>
      </c>
      <c r="B11" s="1" t="s">
        <v>154</v>
      </c>
      <c r="C11" s="1"/>
      <c r="D11" s="133">
        <v>143</v>
      </c>
      <c r="E11" s="133">
        <v>3847</v>
      </c>
      <c r="F11" s="133" t="s">
        <v>79</v>
      </c>
      <c r="G11" s="133" t="s">
        <v>79</v>
      </c>
      <c r="H11" s="133">
        <v>59</v>
      </c>
      <c r="I11" s="134">
        <v>4064</v>
      </c>
      <c r="L11" s="117"/>
      <c r="M11" s="117"/>
      <c r="N11" s="117"/>
      <c r="O11" s="117"/>
      <c r="P11" s="117"/>
      <c r="Q11" s="117"/>
    </row>
    <row r="12" spans="1:17">
      <c r="A12" s="132"/>
      <c r="B12" s="1" t="s">
        <v>69</v>
      </c>
      <c r="C12" s="1"/>
      <c r="D12" s="133">
        <v>13</v>
      </c>
      <c r="E12" s="133">
        <v>9</v>
      </c>
      <c r="F12" s="133" t="s">
        <v>80</v>
      </c>
      <c r="G12" s="136">
        <v>0</v>
      </c>
      <c r="H12" s="133" t="s">
        <v>80</v>
      </c>
      <c r="I12" s="134">
        <v>28</v>
      </c>
      <c r="L12" s="117"/>
      <c r="M12" s="117"/>
      <c r="N12" s="117"/>
      <c r="O12" s="117"/>
      <c r="P12" s="117"/>
      <c r="Q12" s="117"/>
    </row>
    <row r="13" spans="1:17">
      <c r="A13" s="132"/>
      <c r="B13" s="1" t="s">
        <v>72</v>
      </c>
      <c r="C13" s="1"/>
      <c r="D13" s="133">
        <v>130</v>
      </c>
      <c r="E13" s="133">
        <v>158</v>
      </c>
      <c r="F13" s="133" t="s">
        <v>79</v>
      </c>
      <c r="G13" s="133" t="s">
        <v>80</v>
      </c>
      <c r="H13" s="133" t="s">
        <v>79</v>
      </c>
      <c r="I13" s="134">
        <v>377</v>
      </c>
      <c r="L13" s="117"/>
      <c r="M13" s="117"/>
      <c r="N13" s="117"/>
      <c r="O13" s="117"/>
      <c r="P13" s="117"/>
      <c r="Q13" s="117"/>
    </row>
    <row r="14" spans="1:17">
      <c r="A14" s="137"/>
      <c r="B14" s="138" t="s">
        <v>65</v>
      </c>
      <c r="C14" s="138"/>
      <c r="D14" s="139">
        <v>2992.9999999999995</v>
      </c>
      <c r="E14" s="139">
        <v>4450.0000000000027</v>
      </c>
      <c r="F14" s="139">
        <v>97.999999999999943</v>
      </c>
      <c r="G14" s="139">
        <v>36.00000000000005</v>
      </c>
      <c r="H14" s="139">
        <v>1193.9999999999993</v>
      </c>
      <c r="I14" s="140">
        <v>8771</v>
      </c>
      <c r="J14" s="142"/>
    </row>
    <row r="15" spans="1:17">
      <c r="A15" s="132" t="s">
        <v>105</v>
      </c>
      <c r="B15" s="1" t="s">
        <v>67</v>
      </c>
      <c r="C15" s="1"/>
      <c r="D15" s="133">
        <v>63486</v>
      </c>
      <c r="E15" s="133">
        <v>3219</v>
      </c>
      <c r="F15" s="133">
        <v>1772</v>
      </c>
      <c r="G15" s="133">
        <v>389</v>
      </c>
      <c r="H15" s="133">
        <v>9936</v>
      </c>
      <c r="I15" s="143">
        <f>SUM(D15:H15)</f>
        <v>78802</v>
      </c>
    </row>
    <row r="16" spans="1:17">
      <c r="A16" s="132" t="s">
        <v>106</v>
      </c>
      <c r="B16" s="1" t="s">
        <v>154</v>
      </c>
      <c r="C16" s="1"/>
      <c r="D16" s="133">
        <v>735</v>
      </c>
      <c r="E16" s="133">
        <v>76512</v>
      </c>
      <c r="F16" s="133">
        <v>83</v>
      </c>
      <c r="G16" s="133">
        <v>109</v>
      </c>
      <c r="H16" s="133">
        <v>537</v>
      </c>
      <c r="I16" s="134">
        <f>SUM(D16:H16)</f>
        <v>77976</v>
      </c>
    </row>
    <row r="17" spans="1:9">
      <c r="A17" s="132"/>
      <c r="B17" s="1" t="s">
        <v>69</v>
      </c>
      <c r="C17" s="1"/>
      <c r="D17" s="133">
        <v>889</v>
      </c>
      <c r="E17" s="133">
        <v>550</v>
      </c>
      <c r="F17" s="133">
        <v>60</v>
      </c>
      <c r="G17" s="133">
        <v>11</v>
      </c>
      <c r="H17" s="133">
        <v>272</v>
      </c>
      <c r="I17" s="134">
        <f>SUM(D17:H17)</f>
        <v>1782</v>
      </c>
    </row>
    <row r="18" spans="1:9">
      <c r="A18" s="132"/>
      <c r="B18" s="1" t="s">
        <v>72</v>
      </c>
      <c r="C18" s="1"/>
      <c r="D18" s="133">
        <v>1529</v>
      </c>
      <c r="E18" s="133">
        <v>1843</v>
      </c>
      <c r="F18" s="133">
        <v>205</v>
      </c>
      <c r="G18" s="133">
        <v>34</v>
      </c>
      <c r="H18" s="133">
        <v>619</v>
      </c>
      <c r="I18" s="134">
        <f>SUM(D18:H18)</f>
        <v>4230</v>
      </c>
    </row>
    <row r="19" spans="1:9">
      <c r="A19" s="137"/>
      <c r="B19" s="138" t="s">
        <v>65</v>
      </c>
      <c r="C19" s="138"/>
      <c r="D19" s="139">
        <f>SUM(D15:D18)</f>
        <v>66639</v>
      </c>
      <c r="E19" s="139">
        <f>SUM(E15:E18)</f>
        <v>82124</v>
      </c>
      <c r="F19" s="139">
        <f>SUM(F15:F18)</f>
        <v>2120</v>
      </c>
      <c r="G19" s="139">
        <f>SUM(G15:G18)</f>
        <v>543</v>
      </c>
      <c r="H19" s="139">
        <f>SUM(H15:H18)</f>
        <v>11364</v>
      </c>
      <c r="I19" s="140">
        <f>SUM(D19:H19)</f>
        <v>162790</v>
      </c>
    </row>
    <row r="20" spans="1:9">
      <c r="A20" s="132" t="s">
        <v>107</v>
      </c>
      <c r="B20" s="1" t="s">
        <v>67</v>
      </c>
      <c r="C20" s="1"/>
      <c r="D20" s="133">
        <v>309</v>
      </c>
      <c r="E20" s="133">
        <v>17</v>
      </c>
      <c r="F20" s="133" t="s">
        <v>80</v>
      </c>
      <c r="G20" s="133" t="s">
        <v>80</v>
      </c>
      <c r="H20" s="133">
        <v>49</v>
      </c>
      <c r="I20" s="134">
        <v>381</v>
      </c>
    </row>
    <row r="21" spans="1:9">
      <c r="A21" s="132" t="s">
        <v>106</v>
      </c>
      <c r="B21" s="1" t="s">
        <v>81</v>
      </c>
      <c r="C21" s="1" t="s">
        <v>124</v>
      </c>
      <c r="D21" s="147">
        <v>0</v>
      </c>
      <c r="E21" s="148">
        <v>0</v>
      </c>
      <c r="F21" s="149">
        <v>0</v>
      </c>
      <c r="G21" s="148">
        <v>0</v>
      </c>
      <c r="H21" s="150">
        <v>0</v>
      </c>
      <c r="I21" s="151">
        <v>0</v>
      </c>
    </row>
    <row r="22" spans="1:9">
      <c r="A22" s="132"/>
      <c r="B22" s="1"/>
      <c r="C22" s="1" t="s">
        <v>125</v>
      </c>
      <c r="D22" s="133">
        <v>1506</v>
      </c>
      <c r="E22" s="133">
        <v>265</v>
      </c>
      <c r="F22" s="133" t="s">
        <v>79</v>
      </c>
      <c r="G22" s="133" t="s">
        <v>79</v>
      </c>
      <c r="H22" s="133">
        <v>336</v>
      </c>
      <c r="I22" s="134">
        <v>2176</v>
      </c>
    </row>
    <row r="23" spans="1:9">
      <c r="A23" s="137"/>
      <c r="B23" s="138" t="s">
        <v>65</v>
      </c>
      <c r="C23" s="138"/>
      <c r="D23" s="139">
        <f>SUM(D20:D22)</f>
        <v>1815</v>
      </c>
      <c r="E23" s="139">
        <f>SUM(E20:E22)</f>
        <v>282</v>
      </c>
      <c r="F23" s="139">
        <v>40</v>
      </c>
      <c r="G23" s="139">
        <v>35</v>
      </c>
      <c r="H23" s="139">
        <v>385</v>
      </c>
      <c r="I23" s="140">
        <v>2557</v>
      </c>
    </row>
    <row r="24" spans="1:9">
      <c r="A24" s="132" t="s">
        <v>108</v>
      </c>
      <c r="B24" s="1" t="s">
        <v>67</v>
      </c>
      <c r="C24" s="1"/>
      <c r="D24" s="133">
        <v>32415</v>
      </c>
      <c r="E24" s="133">
        <v>640</v>
      </c>
      <c r="F24" s="133">
        <v>845</v>
      </c>
      <c r="G24" s="133">
        <v>72</v>
      </c>
      <c r="H24" s="133">
        <v>3317</v>
      </c>
      <c r="I24" s="134">
        <f>SUM(D24:H24)</f>
        <v>37289</v>
      </c>
    </row>
    <row r="25" spans="1:9">
      <c r="A25" s="132" t="s">
        <v>109</v>
      </c>
      <c r="B25" s="1" t="s">
        <v>154</v>
      </c>
      <c r="C25" s="1"/>
      <c r="D25" s="133">
        <v>175</v>
      </c>
      <c r="E25" s="133">
        <v>44297</v>
      </c>
      <c r="F25" s="133">
        <v>58</v>
      </c>
      <c r="G25" s="133">
        <v>37</v>
      </c>
      <c r="H25" s="133">
        <v>114</v>
      </c>
      <c r="I25" s="134">
        <f>SUM(D25:H25)</f>
        <v>44681</v>
      </c>
    </row>
    <row r="26" spans="1:9">
      <c r="A26" s="132" t="s">
        <v>110</v>
      </c>
      <c r="B26" s="1" t="s">
        <v>69</v>
      </c>
      <c r="C26" s="1"/>
      <c r="D26" s="133">
        <v>1380</v>
      </c>
      <c r="E26" s="133">
        <v>315</v>
      </c>
      <c r="F26" s="133">
        <v>68</v>
      </c>
      <c r="G26" s="133">
        <v>16</v>
      </c>
      <c r="H26" s="133">
        <v>228</v>
      </c>
      <c r="I26" s="134">
        <f>SUM(D26:H26)</f>
        <v>2007</v>
      </c>
    </row>
    <row r="27" spans="1:9">
      <c r="A27" s="132"/>
      <c r="B27" s="1" t="s">
        <v>72</v>
      </c>
      <c r="C27" s="1"/>
      <c r="D27" s="133">
        <v>3415</v>
      </c>
      <c r="E27" s="133">
        <v>3689</v>
      </c>
      <c r="F27" s="133">
        <v>448</v>
      </c>
      <c r="G27" s="133">
        <v>61</v>
      </c>
      <c r="H27" s="133">
        <v>457</v>
      </c>
      <c r="I27" s="134">
        <f>SUM(D27:H27)</f>
        <v>8070</v>
      </c>
    </row>
    <row r="28" spans="1:9">
      <c r="A28" s="137"/>
      <c r="B28" s="138" t="s">
        <v>65</v>
      </c>
      <c r="C28" s="138"/>
      <c r="D28" s="139">
        <f t="shared" ref="D28:I28" si="0">SUM(D24:D27)</f>
        <v>37385</v>
      </c>
      <c r="E28" s="139">
        <f t="shared" si="0"/>
        <v>48941</v>
      </c>
      <c r="F28" s="139">
        <f t="shared" si="0"/>
        <v>1419</v>
      </c>
      <c r="G28" s="139">
        <f t="shared" si="0"/>
        <v>186</v>
      </c>
      <c r="H28" s="139">
        <f t="shared" si="0"/>
        <v>4116</v>
      </c>
      <c r="I28" s="140">
        <f t="shared" si="0"/>
        <v>92047</v>
      </c>
    </row>
    <row r="29" spans="1:9">
      <c r="A29" s="132" t="s">
        <v>111</v>
      </c>
      <c r="B29" s="1" t="s">
        <v>67</v>
      </c>
      <c r="C29" s="1"/>
      <c r="D29" s="133">
        <v>12053</v>
      </c>
      <c r="E29" s="133">
        <v>889</v>
      </c>
      <c r="F29" s="133">
        <v>548</v>
      </c>
      <c r="G29" s="133">
        <v>48</v>
      </c>
      <c r="H29" s="133">
        <v>1345</v>
      </c>
      <c r="I29" s="134">
        <f>SUM(D29:H29)</f>
        <v>14883</v>
      </c>
    </row>
    <row r="30" spans="1:9">
      <c r="A30" s="132" t="s">
        <v>112</v>
      </c>
      <c r="B30" s="1" t="s">
        <v>81</v>
      </c>
      <c r="C30" s="1" t="s">
        <v>124</v>
      </c>
      <c r="D30" s="133">
        <v>181</v>
      </c>
      <c r="E30" s="133">
        <v>28084</v>
      </c>
      <c r="F30" s="133">
        <v>44</v>
      </c>
      <c r="G30" s="133">
        <v>19</v>
      </c>
      <c r="H30" s="133">
        <v>27</v>
      </c>
      <c r="I30" s="134">
        <f>SUM(D30:H30)</f>
        <v>28355</v>
      </c>
    </row>
    <row r="31" spans="1:9">
      <c r="A31" s="132"/>
      <c r="B31" s="1"/>
      <c r="C31" s="1" t="s">
        <v>125</v>
      </c>
      <c r="D31" s="133">
        <v>15187</v>
      </c>
      <c r="E31" s="133">
        <v>1901</v>
      </c>
      <c r="F31" s="133">
        <v>684</v>
      </c>
      <c r="G31" s="133">
        <v>147</v>
      </c>
      <c r="H31" s="133">
        <v>2190</v>
      </c>
      <c r="I31" s="134">
        <f>SUM(D31:H31)</f>
        <v>20109</v>
      </c>
    </row>
    <row r="32" spans="1:9">
      <c r="A32" s="137"/>
      <c r="B32" s="138" t="s">
        <v>65</v>
      </c>
      <c r="C32" s="138"/>
      <c r="D32" s="139">
        <f>SUM(D29:D31)</f>
        <v>27421</v>
      </c>
      <c r="E32" s="139">
        <f>SUM(E29:E31)</f>
        <v>30874</v>
      </c>
      <c r="F32" s="139">
        <f>SUM(F29:F31)</f>
        <v>1276</v>
      </c>
      <c r="G32" s="139">
        <f>SUM(G29:G31)</f>
        <v>214</v>
      </c>
      <c r="H32" s="139">
        <f>SUM(H29:H31)</f>
        <v>3562</v>
      </c>
      <c r="I32" s="140">
        <f>SUM(D32:H32)</f>
        <v>63347</v>
      </c>
    </row>
    <row r="33" spans="1:9">
      <c r="A33" s="132" t="s">
        <v>86</v>
      </c>
      <c r="B33" s="1" t="s">
        <v>67</v>
      </c>
      <c r="C33" s="1"/>
      <c r="D33" s="133">
        <v>1932</v>
      </c>
      <c r="E33" s="133">
        <v>1747</v>
      </c>
      <c r="F33" s="133" t="s">
        <v>79</v>
      </c>
      <c r="G33" s="133">
        <v>13</v>
      </c>
      <c r="H33" s="133" t="s">
        <v>79</v>
      </c>
      <c r="I33" s="134">
        <v>4518</v>
      </c>
    </row>
    <row r="34" spans="1:9">
      <c r="A34" s="132"/>
      <c r="B34" s="1" t="s">
        <v>154</v>
      </c>
      <c r="C34" s="1"/>
      <c r="D34" s="133">
        <v>40</v>
      </c>
      <c r="E34" s="133">
        <v>269</v>
      </c>
      <c r="F34" s="133" t="s">
        <v>80</v>
      </c>
      <c r="G34" s="136">
        <v>0</v>
      </c>
      <c r="H34" s="133" t="s">
        <v>79</v>
      </c>
      <c r="I34" s="134">
        <v>316</v>
      </c>
    </row>
    <row r="35" spans="1:9">
      <c r="A35" s="137"/>
      <c r="B35" s="138" t="s">
        <v>65</v>
      </c>
      <c r="C35" s="138"/>
      <c r="D35" s="139">
        <f>SUM(D33:D34)</f>
        <v>1972</v>
      </c>
      <c r="E35" s="139">
        <f>SUM(E33:E34)</f>
        <v>2016</v>
      </c>
      <c r="F35" s="139">
        <v>48</v>
      </c>
      <c r="G35" s="139">
        <v>13</v>
      </c>
      <c r="H35" s="139">
        <v>785</v>
      </c>
      <c r="I35" s="140">
        <v>4834</v>
      </c>
    </row>
    <row r="36" spans="1:9" ht="13.5" thickBot="1">
      <c r="A36" s="152" t="s">
        <v>122</v>
      </c>
      <c r="B36" s="153"/>
      <c r="C36" s="154"/>
      <c r="D36" s="155">
        <f t="shared" ref="D36:I36" si="1">SUM(D9+D14+D19+D23+D28+D32+D35)</f>
        <v>140902</v>
      </c>
      <c r="E36" s="155">
        <f t="shared" si="1"/>
        <v>171540</v>
      </c>
      <c r="F36" s="155">
        <f t="shared" si="1"/>
        <v>5106</v>
      </c>
      <c r="G36" s="155">
        <f t="shared" si="1"/>
        <v>1060</v>
      </c>
      <c r="H36" s="155">
        <f t="shared" si="1"/>
        <v>21976</v>
      </c>
      <c r="I36" s="156">
        <f t="shared" si="1"/>
        <v>340584</v>
      </c>
    </row>
    <row r="37" spans="1:9" ht="13.5" thickTop="1">
      <c r="A37" s="1"/>
      <c r="C37" s="1"/>
      <c r="D37" s="157"/>
      <c r="E37" s="157"/>
      <c r="F37" s="157"/>
      <c r="G37" s="157"/>
      <c r="H37" s="157"/>
      <c r="I37" s="157"/>
    </row>
    <row r="38" spans="1:9">
      <c r="A38" t="s">
        <v>90</v>
      </c>
    </row>
    <row r="39" spans="1:9" ht="14.25">
      <c r="A39" s="158" t="s">
        <v>120</v>
      </c>
      <c r="D39" s="142"/>
      <c r="E39" s="142"/>
      <c r="F39" s="142"/>
      <c r="G39" s="142"/>
      <c r="H39" s="142"/>
      <c r="I39" s="142"/>
    </row>
    <row r="40" spans="1:9" ht="14.25">
      <c r="A40" s="158" t="s">
        <v>130</v>
      </c>
    </row>
    <row r="41" spans="1:9" ht="14.25">
      <c r="A41" s="75" t="s">
        <v>150</v>
      </c>
    </row>
  </sheetData>
  <mergeCells count="1">
    <mergeCell ref="H4:H6"/>
  </mergeCells>
  <pageMargins left="0.75000000000000011" right="0.75000000000000011" top="1" bottom="1" header="0.5" footer="0.5"/>
  <pageSetup paperSize="0" scale="82" fitToWidth="0" fitToHeight="0" orientation="landscape" horizontalDpi="0" verticalDpi="0" copies="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8"/>
  <sheetViews>
    <sheetView workbookViewId="0"/>
  </sheetViews>
  <sheetFormatPr defaultRowHeight="12.75"/>
  <cols>
    <col min="1" max="1" width="20.7109375" customWidth="1"/>
    <col min="2" max="2" width="26.5703125" customWidth="1"/>
    <col min="3" max="3" width="34.42578125" customWidth="1"/>
    <col min="4" max="4" width="10.140625" customWidth="1"/>
    <col min="5" max="5" width="15.42578125" customWidth="1"/>
    <col min="6" max="6" width="14.5703125" customWidth="1"/>
    <col min="7" max="7" width="13.140625" customWidth="1"/>
    <col min="8" max="8" width="12.7109375" customWidth="1"/>
    <col min="9" max="9" width="9.140625" customWidth="1"/>
  </cols>
  <sheetData>
    <row r="1" spans="1:17" s="118" customFormat="1" ht="18">
      <c r="A1" s="118" t="s">
        <v>155</v>
      </c>
    </row>
    <row r="2" spans="1:17" s="118" customFormat="1" ht="18">
      <c r="A2" s="118" t="s">
        <v>156</v>
      </c>
    </row>
    <row r="3" spans="1:17" ht="13.5" customHeight="1" thickBot="1"/>
    <row r="4" spans="1:17" s="123" customFormat="1" ht="14.25" thickTop="1" thickBot="1">
      <c r="A4" s="119"/>
      <c r="B4" s="120"/>
      <c r="C4" s="120"/>
      <c r="D4" s="121" t="s">
        <v>58</v>
      </c>
      <c r="E4" s="121" t="s">
        <v>133</v>
      </c>
      <c r="F4" s="121" t="s">
        <v>116</v>
      </c>
      <c r="G4" s="121" t="s">
        <v>117</v>
      </c>
      <c r="H4" s="443" t="s">
        <v>127</v>
      </c>
      <c r="I4" s="122" t="s">
        <v>61</v>
      </c>
    </row>
    <row r="5" spans="1:17" s="123" customFormat="1" ht="14.25" thickTop="1" thickBot="1">
      <c r="A5" s="124"/>
      <c r="B5" s="125"/>
      <c r="C5" s="125"/>
      <c r="D5" s="126"/>
      <c r="E5" s="126"/>
      <c r="F5" s="126"/>
      <c r="G5" s="126"/>
      <c r="H5" s="443"/>
      <c r="I5" s="127"/>
    </row>
    <row r="6" spans="1:17" s="123" customFormat="1" ht="13.5" thickTop="1">
      <c r="A6" s="128"/>
      <c r="B6" s="129"/>
      <c r="C6" s="129"/>
      <c r="D6" s="130"/>
      <c r="E6" s="130"/>
      <c r="F6" s="130"/>
      <c r="G6" s="130"/>
      <c r="H6" s="443"/>
      <c r="I6" s="131"/>
    </row>
    <row r="7" spans="1:17">
      <c r="A7" s="132" t="s">
        <v>66</v>
      </c>
      <c r="B7" s="1" t="s">
        <v>67</v>
      </c>
      <c r="C7" s="1"/>
      <c r="D7" s="133">
        <v>2503</v>
      </c>
      <c r="E7" s="133">
        <v>1133</v>
      </c>
      <c r="F7" s="133">
        <v>117</v>
      </c>
      <c r="G7" s="133">
        <v>20</v>
      </c>
      <c r="H7" s="133">
        <v>706</v>
      </c>
      <c r="I7" s="134">
        <v>4479</v>
      </c>
    </row>
    <row r="8" spans="1:17">
      <c r="A8" s="132"/>
      <c r="B8" s="1" t="s">
        <v>68</v>
      </c>
      <c r="C8" s="1"/>
      <c r="D8" s="133">
        <v>40</v>
      </c>
      <c r="E8" s="133">
        <v>1708</v>
      </c>
      <c r="F8" s="133">
        <v>6</v>
      </c>
      <c r="G8" s="133">
        <v>5</v>
      </c>
      <c r="H8" s="133">
        <v>31</v>
      </c>
      <c r="I8" s="134">
        <v>1790</v>
      </c>
    </row>
    <row r="9" spans="1:17">
      <c r="A9" s="137"/>
      <c r="B9" s="138" t="s">
        <v>65</v>
      </c>
      <c r="C9" s="138"/>
      <c r="D9" s="139">
        <v>2543</v>
      </c>
      <c r="E9" s="139">
        <v>2841</v>
      </c>
      <c r="F9" s="139">
        <v>123</v>
      </c>
      <c r="G9" s="139">
        <v>25</v>
      </c>
      <c r="H9" s="139">
        <v>737</v>
      </c>
      <c r="I9" s="140">
        <v>6269</v>
      </c>
      <c r="L9" s="117"/>
      <c r="M9" s="117"/>
      <c r="N9" s="117"/>
      <c r="O9" s="117"/>
      <c r="P9" s="117"/>
      <c r="Q9" s="117"/>
    </row>
    <row r="10" spans="1:17" ht="14.25">
      <c r="A10" s="132" t="s">
        <v>103</v>
      </c>
      <c r="B10" s="1" t="s">
        <v>142</v>
      </c>
      <c r="C10" s="1"/>
      <c r="D10" s="133">
        <v>2601</v>
      </c>
      <c r="E10" s="133">
        <v>465.99999999999972</v>
      </c>
      <c r="F10" s="133">
        <v>116.99999999999997</v>
      </c>
      <c r="G10" s="133">
        <v>9.9999999999999964</v>
      </c>
      <c r="H10" s="133">
        <v>1248.0000000000002</v>
      </c>
      <c r="I10" s="134">
        <v>4441.9999999999991</v>
      </c>
      <c r="L10" s="117"/>
      <c r="M10" s="117"/>
      <c r="N10" s="117"/>
      <c r="O10" s="117"/>
      <c r="P10" s="117"/>
      <c r="Q10" s="117"/>
    </row>
    <row r="11" spans="1:17">
      <c r="A11" s="132" t="s">
        <v>104</v>
      </c>
      <c r="B11" s="1" t="s">
        <v>154</v>
      </c>
      <c r="C11" s="1"/>
      <c r="D11" s="133" t="s">
        <v>79</v>
      </c>
      <c r="E11" s="133">
        <v>3887</v>
      </c>
      <c r="F11" s="133">
        <v>39</v>
      </c>
      <c r="G11" s="133" t="s">
        <v>79</v>
      </c>
      <c r="H11" s="133">
        <v>125</v>
      </c>
      <c r="I11" s="134">
        <v>4152</v>
      </c>
      <c r="L11" s="117"/>
      <c r="M11" s="117"/>
      <c r="N11" s="117"/>
      <c r="O11" s="117"/>
      <c r="P11" s="117"/>
      <c r="Q11" s="117"/>
    </row>
    <row r="12" spans="1:17">
      <c r="A12" s="132"/>
      <c r="B12" s="1" t="s">
        <v>69</v>
      </c>
      <c r="C12" s="1"/>
      <c r="D12" s="133" t="s">
        <v>80</v>
      </c>
      <c r="E12" s="133">
        <v>8</v>
      </c>
      <c r="F12" s="133" t="s">
        <v>80</v>
      </c>
      <c r="G12" s="133" t="s">
        <v>157</v>
      </c>
      <c r="H12" s="133" t="s">
        <v>80</v>
      </c>
      <c r="I12" s="134">
        <v>13</v>
      </c>
      <c r="L12" s="117"/>
      <c r="M12" s="117"/>
      <c r="N12" s="117"/>
      <c r="O12" s="117"/>
      <c r="P12" s="117"/>
      <c r="Q12" s="117"/>
    </row>
    <row r="13" spans="1:17">
      <c r="A13" s="132"/>
      <c r="B13" s="1" t="s">
        <v>72</v>
      </c>
      <c r="C13" s="1"/>
      <c r="D13" s="133">
        <v>153</v>
      </c>
      <c r="E13" s="133">
        <v>134</v>
      </c>
      <c r="F13" s="133" t="s">
        <v>79</v>
      </c>
      <c r="G13" s="133" t="s">
        <v>80</v>
      </c>
      <c r="H13" s="133" t="s">
        <v>79</v>
      </c>
      <c r="I13" s="134">
        <v>365</v>
      </c>
      <c r="L13" s="117"/>
      <c r="M13" s="117"/>
      <c r="N13" s="117"/>
      <c r="O13" s="117"/>
      <c r="P13" s="117"/>
      <c r="Q13" s="117"/>
    </row>
    <row r="14" spans="1:17">
      <c r="A14" s="137"/>
      <c r="B14" s="138" t="s">
        <v>65</v>
      </c>
      <c r="C14" s="138"/>
      <c r="D14" s="139">
        <v>2847.9999999999995</v>
      </c>
      <c r="E14" s="139">
        <v>4494.9999999999991</v>
      </c>
      <c r="F14" s="139">
        <v>169.99999999999997</v>
      </c>
      <c r="G14" s="139">
        <v>21.000000000000011</v>
      </c>
      <c r="H14" s="139">
        <v>1437.9999999999995</v>
      </c>
      <c r="I14" s="140">
        <v>8972.0000000000018</v>
      </c>
      <c r="J14" s="142"/>
    </row>
    <row r="15" spans="1:17">
      <c r="A15" s="132" t="s">
        <v>105</v>
      </c>
      <c r="B15" s="1" t="s">
        <v>67</v>
      </c>
      <c r="C15" s="1"/>
      <c r="D15" s="133">
        <v>64454</v>
      </c>
      <c r="E15" s="133">
        <v>3221</v>
      </c>
      <c r="F15" s="133">
        <v>1909</v>
      </c>
      <c r="G15" s="133">
        <v>393</v>
      </c>
      <c r="H15" s="133">
        <v>10603</v>
      </c>
      <c r="I15" s="143">
        <v>80580</v>
      </c>
    </row>
    <row r="16" spans="1:17">
      <c r="A16" s="132" t="s">
        <v>106</v>
      </c>
      <c r="B16" s="1" t="s">
        <v>154</v>
      </c>
      <c r="C16" s="1"/>
      <c r="D16" s="133">
        <v>732</v>
      </c>
      <c r="E16" s="133">
        <v>77775</v>
      </c>
      <c r="F16" s="133">
        <v>76</v>
      </c>
      <c r="G16" s="133">
        <v>72</v>
      </c>
      <c r="H16" s="133">
        <v>387</v>
      </c>
      <c r="I16" s="134">
        <v>79042</v>
      </c>
    </row>
    <row r="17" spans="1:9">
      <c r="A17" s="132"/>
      <c r="B17" s="1" t="s">
        <v>69</v>
      </c>
      <c r="C17" s="1"/>
      <c r="D17" s="133">
        <v>677</v>
      </c>
      <c r="E17" s="133">
        <v>507</v>
      </c>
      <c r="F17" s="133">
        <v>57</v>
      </c>
      <c r="G17" s="133" t="s">
        <v>80</v>
      </c>
      <c r="H17" s="133">
        <v>244</v>
      </c>
      <c r="I17" s="134">
        <v>1489</v>
      </c>
    </row>
    <row r="18" spans="1:9">
      <c r="A18" s="132"/>
      <c r="B18" s="1" t="s">
        <v>72</v>
      </c>
      <c r="C18" s="1"/>
      <c r="D18" s="133">
        <v>1487</v>
      </c>
      <c r="E18" s="133">
        <v>1776</v>
      </c>
      <c r="F18" s="133">
        <v>225</v>
      </c>
      <c r="G18" s="133">
        <v>35</v>
      </c>
      <c r="H18" s="133">
        <v>545</v>
      </c>
      <c r="I18" s="134">
        <v>4068</v>
      </c>
    </row>
    <row r="19" spans="1:9">
      <c r="A19" s="137"/>
      <c r="B19" s="138" t="s">
        <v>65</v>
      </c>
      <c r="C19" s="138"/>
      <c r="D19" s="139">
        <v>67350</v>
      </c>
      <c r="E19" s="139">
        <v>83279</v>
      </c>
      <c r="F19" s="139">
        <v>2267</v>
      </c>
      <c r="G19" s="139">
        <v>504</v>
      </c>
      <c r="H19" s="139">
        <v>11779</v>
      </c>
      <c r="I19" s="140">
        <v>165179</v>
      </c>
    </row>
    <row r="20" spans="1:9">
      <c r="A20" s="132" t="s">
        <v>107</v>
      </c>
      <c r="B20" s="1" t="s">
        <v>67</v>
      </c>
      <c r="C20" s="1"/>
      <c r="D20" s="133">
        <v>307</v>
      </c>
      <c r="E20" s="133">
        <v>29</v>
      </c>
      <c r="F20" s="133" t="s">
        <v>80</v>
      </c>
      <c r="G20" s="133" t="s">
        <v>80</v>
      </c>
      <c r="H20" s="133">
        <v>61</v>
      </c>
      <c r="I20" s="134">
        <v>401</v>
      </c>
    </row>
    <row r="21" spans="1:9">
      <c r="A21" s="132" t="s">
        <v>106</v>
      </c>
      <c r="B21" s="1" t="s">
        <v>81</v>
      </c>
      <c r="C21" s="1" t="s">
        <v>124</v>
      </c>
      <c r="D21" s="159" t="s">
        <v>157</v>
      </c>
      <c r="E21" s="160" t="s">
        <v>157</v>
      </c>
      <c r="F21" s="161" t="s">
        <v>157</v>
      </c>
      <c r="G21" s="160" t="s">
        <v>157</v>
      </c>
      <c r="H21" s="162" t="s">
        <v>157</v>
      </c>
      <c r="I21" s="163" t="s">
        <v>157</v>
      </c>
    </row>
    <row r="22" spans="1:9">
      <c r="A22" s="132"/>
      <c r="B22" s="1"/>
      <c r="C22" s="1" t="s">
        <v>125</v>
      </c>
      <c r="D22" s="133">
        <v>1541</v>
      </c>
      <c r="E22" s="133">
        <v>240</v>
      </c>
      <c r="F22" s="133" t="s">
        <v>79</v>
      </c>
      <c r="G22" s="133" t="s">
        <v>79</v>
      </c>
      <c r="H22" s="133">
        <v>372</v>
      </c>
      <c r="I22" s="134">
        <v>2219</v>
      </c>
    </row>
    <row r="23" spans="1:9">
      <c r="A23" s="137"/>
      <c r="B23" s="138" t="s">
        <v>65</v>
      </c>
      <c r="C23" s="138"/>
      <c r="D23" s="139">
        <v>1848</v>
      </c>
      <c r="E23" s="139">
        <v>269</v>
      </c>
      <c r="F23" s="139">
        <v>40</v>
      </c>
      <c r="G23" s="139">
        <v>30</v>
      </c>
      <c r="H23" s="139">
        <v>433</v>
      </c>
      <c r="I23" s="140">
        <v>2620</v>
      </c>
    </row>
    <row r="24" spans="1:9">
      <c r="A24" s="132" t="s">
        <v>108</v>
      </c>
      <c r="B24" s="1" t="s">
        <v>67</v>
      </c>
      <c r="C24" s="1"/>
      <c r="D24" s="133">
        <v>33203</v>
      </c>
      <c r="E24" s="133">
        <v>808</v>
      </c>
      <c r="F24" s="133">
        <v>744</v>
      </c>
      <c r="G24" s="133">
        <v>67</v>
      </c>
      <c r="H24" s="133">
        <v>2888</v>
      </c>
      <c r="I24" s="134">
        <v>37710</v>
      </c>
    </row>
    <row r="25" spans="1:9">
      <c r="A25" s="132" t="s">
        <v>109</v>
      </c>
      <c r="B25" s="1" t="s">
        <v>154</v>
      </c>
      <c r="C25" s="1"/>
      <c r="D25" s="133">
        <v>175</v>
      </c>
      <c r="E25" s="133">
        <v>44751</v>
      </c>
      <c r="F25" s="133">
        <v>52</v>
      </c>
      <c r="G25" s="133">
        <v>35</v>
      </c>
      <c r="H25" s="133">
        <v>162</v>
      </c>
      <c r="I25" s="134">
        <v>45175</v>
      </c>
    </row>
    <row r="26" spans="1:9">
      <c r="A26" s="132" t="s">
        <v>110</v>
      </c>
      <c r="B26" s="1" t="s">
        <v>69</v>
      </c>
      <c r="C26" s="1"/>
      <c r="D26" s="133">
        <v>1426</v>
      </c>
      <c r="E26" s="133">
        <v>304</v>
      </c>
      <c r="F26" s="133">
        <v>64</v>
      </c>
      <c r="G26" s="133">
        <v>14</v>
      </c>
      <c r="H26" s="133">
        <v>193</v>
      </c>
      <c r="I26" s="134">
        <v>2001</v>
      </c>
    </row>
    <row r="27" spans="1:9">
      <c r="A27" s="132"/>
      <c r="B27" s="1" t="s">
        <v>72</v>
      </c>
      <c r="C27" s="1"/>
      <c r="D27" s="133">
        <v>3295</v>
      </c>
      <c r="E27" s="133">
        <v>3667</v>
      </c>
      <c r="F27" s="133">
        <v>347</v>
      </c>
      <c r="G27" s="133">
        <v>62</v>
      </c>
      <c r="H27" s="133">
        <v>388</v>
      </c>
      <c r="I27" s="134">
        <v>7759</v>
      </c>
    </row>
    <row r="28" spans="1:9">
      <c r="A28" s="137"/>
      <c r="B28" s="138" t="s">
        <v>65</v>
      </c>
      <c r="C28" s="138"/>
      <c r="D28" s="139">
        <v>38099</v>
      </c>
      <c r="E28" s="139">
        <v>49530</v>
      </c>
      <c r="F28" s="139">
        <v>1207</v>
      </c>
      <c r="G28" s="139">
        <v>178</v>
      </c>
      <c r="H28" s="139">
        <v>3631</v>
      </c>
      <c r="I28" s="140">
        <v>92645</v>
      </c>
    </row>
    <row r="29" spans="1:9">
      <c r="A29" s="132" t="s">
        <v>111</v>
      </c>
      <c r="B29" s="1" t="s">
        <v>67</v>
      </c>
      <c r="C29" s="1"/>
      <c r="D29" s="133">
        <v>12178</v>
      </c>
      <c r="E29" s="133">
        <v>885</v>
      </c>
      <c r="F29" s="133">
        <v>507</v>
      </c>
      <c r="G29" s="133">
        <v>53</v>
      </c>
      <c r="H29" s="133">
        <v>1291</v>
      </c>
      <c r="I29" s="134">
        <v>14914</v>
      </c>
    </row>
    <row r="30" spans="1:9">
      <c r="A30" s="132" t="s">
        <v>112</v>
      </c>
      <c r="B30" s="1" t="s">
        <v>81</v>
      </c>
      <c r="C30" s="1" t="s">
        <v>124</v>
      </c>
      <c r="D30" s="133">
        <v>172</v>
      </c>
      <c r="E30" s="133">
        <v>27862</v>
      </c>
      <c r="F30" s="133">
        <v>32</v>
      </c>
      <c r="G30" s="133">
        <v>14</v>
      </c>
      <c r="H30" s="133">
        <v>34</v>
      </c>
      <c r="I30" s="134">
        <v>28114</v>
      </c>
    </row>
    <row r="31" spans="1:9">
      <c r="A31" s="132"/>
      <c r="B31" s="1"/>
      <c r="C31" s="1" t="s">
        <v>125</v>
      </c>
      <c r="D31" s="133">
        <v>14363</v>
      </c>
      <c r="E31" s="133">
        <v>1775</v>
      </c>
      <c r="F31" s="133">
        <v>477</v>
      </c>
      <c r="G31" s="133">
        <v>134</v>
      </c>
      <c r="H31" s="133">
        <v>3325</v>
      </c>
      <c r="I31" s="134">
        <v>20074</v>
      </c>
    </row>
    <row r="32" spans="1:9">
      <c r="A32" s="137"/>
      <c r="B32" s="138" t="s">
        <v>65</v>
      </c>
      <c r="C32" s="138"/>
      <c r="D32" s="139">
        <v>26713</v>
      </c>
      <c r="E32" s="139">
        <v>30522</v>
      </c>
      <c r="F32" s="139">
        <v>1016</v>
      </c>
      <c r="G32" s="139">
        <v>201</v>
      </c>
      <c r="H32" s="139">
        <v>4650</v>
      </c>
      <c r="I32" s="134">
        <v>63102</v>
      </c>
    </row>
    <row r="33" spans="1:9" ht="13.5" thickBot="1">
      <c r="A33" s="152" t="s">
        <v>158</v>
      </c>
      <c r="B33" s="153"/>
      <c r="C33" s="154"/>
      <c r="D33" s="155">
        <v>139401</v>
      </c>
      <c r="E33" s="155">
        <v>170936</v>
      </c>
      <c r="F33" s="155">
        <v>4823</v>
      </c>
      <c r="G33" s="155">
        <v>959</v>
      </c>
      <c r="H33" s="155">
        <v>22668</v>
      </c>
      <c r="I33" s="164">
        <v>338787</v>
      </c>
    </row>
    <row r="34" spans="1:9" ht="13.5" thickTop="1">
      <c r="A34" s="1"/>
      <c r="C34" s="1"/>
      <c r="D34" s="157"/>
      <c r="E34" s="157"/>
      <c r="F34" s="157"/>
      <c r="G34" s="157"/>
      <c r="H34" s="157"/>
      <c r="I34" s="157"/>
    </row>
    <row r="35" spans="1:9">
      <c r="A35" t="s">
        <v>90</v>
      </c>
      <c r="D35" s="142"/>
      <c r="E35" s="142"/>
      <c r="F35" s="142"/>
      <c r="G35" s="142"/>
      <c r="H35" s="142"/>
      <c r="I35" s="142"/>
    </row>
    <row r="36" spans="1:9" ht="14.25">
      <c r="A36" s="158" t="s">
        <v>120</v>
      </c>
    </row>
    <row r="37" spans="1:9" ht="14.25">
      <c r="A37" s="158" t="s">
        <v>130</v>
      </c>
    </row>
    <row r="38" spans="1:9" ht="14.25">
      <c r="A38" s="75" t="s">
        <v>150</v>
      </c>
    </row>
  </sheetData>
  <mergeCells count="1">
    <mergeCell ref="H4:H6"/>
  </mergeCells>
  <pageMargins left="0.75000000000000011" right="0.75000000000000011" top="1" bottom="1" header="0.5" footer="0.5"/>
  <pageSetup paperSize="0" scale="84" fitToWidth="0" fitToHeight="0" orientation="landscape" horizontalDpi="0" verticalDpi="0" copies="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8"/>
  <sheetViews>
    <sheetView workbookViewId="0"/>
  </sheetViews>
  <sheetFormatPr defaultRowHeight="12.75"/>
  <cols>
    <col min="1" max="1" width="20.7109375" customWidth="1"/>
    <col min="2" max="2" width="26.5703125" customWidth="1"/>
    <col min="3" max="3" width="34.42578125" customWidth="1"/>
    <col min="4" max="4" width="10.140625" customWidth="1"/>
    <col min="5" max="5" width="15.42578125" customWidth="1"/>
    <col min="6" max="6" width="14.5703125" customWidth="1"/>
    <col min="7" max="7" width="13.140625" customWidth="1"/>
    <col min="8" max="8" width="12.7109375" customWidth="1"/>
    <col min="9" max="9" width="9.140625" customWidth="1"/>
  </cols>
  <sheetData>
    <row r="1" spans="1:11" s="118" customFormat="1" ht="18">
      <c r="A1" s="118" t="s">
        <v>159</v>
      </c>
    </row>
    <row r="2" spans="1:11" s="118" customFormat="1" ht="18"/>
    <row r="3" spans="1:11" ht="13.5" customHeight="1" thickBot="1"/>
    <row r="4" spans="1:11" s="123" customFormat="1" ht="14.25" thickTop="1" thickBot="1">
      <c r="A4" s="119"/>
      <c r="B4" s="120"/>
      <c r="C4" s="120"/>
      <c r="D4" s="121" t="s">
        <v>58</v>
      </c>
      <c r="E4" s="121" t="s">
        <v>133</v>
      </c>
      <c r="F4" s="121" t="s">
        <v>116</v>
      </c>
      <c r="G4" s="121" t="s">
        <v>117</v>
      </c>
      <c r="H4" s="443" t="s">
        <v>127</v>
      </c>
      <c r="I4" s="122" t="s">
        <v>61</v>
      </c>
    </row>
    <row r="5" spans="1:11" s="123" customFormat="1" ht="14.25" thickTop="1" thickBot="1">
      <c r="A5" s="124"/>
      <c r="B5" s="125"/>
      <c r="C5" s="125"/>
      <c r="D5" s="126"/>
      <c r="E5" s="126"/>
      <c r="F5" s="126"/>
      <c r="G5" s="126"/>
      <c r="H5" s="443"/>
      <c r="I5" s="127"/>
    </row>
    <row r="6" spans="1:11" s="123" customFormat="1" ht="13.5" thickTop="1">
      <c r="A6" s="128"/>
      <c r="B6" s="129"/>
      <c r="C6" s="129"/>
      <c r="D6" s="130"/>
      <c r="E6" s="130"/>
      <c r="F6" s="130"/>
      <c r="G6" s="130"/>
      <c r="H6" s="443"/>
      <c r="I6" s="131"/>
    </row>
    <row r="7" spans="1:11">
      <c r="A7" s="132" t="s">
        <v>66</v>
      </c>
      <c r="B7" s="1" t="s">
        <v>67</v>
      </c>
      <c r="C7" s="1"/>
      <c r="D7" s="133">
        <v>2711</v>
      </c>
      <c r="E7" s="133">
        <v>1325</v>
      </c>
      <c r="F7" s="133">
        <v>65</v>
      </c>
      <c r="G7" s="133">
        <v>21</v>
      </c>
      <c r="H7" s="133">
        <v>364</v>
      </c>
      <c r="I7" s="134">
        <v>4486</v>
      </c>
    </row>
    <row r="8" spans="1:11">
      <c r="A8" s="132"/>
      <c r="B8" s="1" t="s">
        <v>68</v>
      </c>
      <c r="C8" s="1"/>
      <c r="D8" s="133">
        <v>53</v>
      </c>
      <c r="E8" s="133">
        <v>1529</v>
      </c>
      <c r="F8" s="133">
        <v>8</v>
      </c>
      <c r="G8" s="133">
        <v>6</v>
      </c>
      <c r="H8" s="133">
        <v>11</v>
      </c>
      <c r="I8" s="134">
        <v>1607</v>
      </c>
    </row>
    <row r="9" spans="1:11">
      <c r="A9" s="137"/>
      <c r="B9" s="138" t="s">
        <v>65</v>
      </c>
      <c r="C9" s="138"/>
      <c r="D9" s="139">
        <v>2764</v>
      </c>
      <c r="E9" s="139">
        <v>2854</v>
      </c>
      <c r="F9" s="139">
        <v>73</v>
      </c>
      <c r="G9" s="139">
        <v>27</v>
      </c>
      <c r="H9" s="139">
        <v>375</v>
      </c>
      <c r="I9" s="140">
        <v>6093</v>
      </c>
    </row>
    <row r="10" spans="1:11" ht="14.25">
      <c r="A10" s="132" t="s">
        <v>103</v>
      </c>
      <c r="B10" s="1" t="s">
        <v>142</v>
      </c>
      <c r="C10" s="1"/>
      <c r="D10" s="133">
        <v>2900.9999999999995</v>
      </c>
      <c r="E10" s="133">
        <v>486.00000000000011</v>
      </c>
      <c r="F10" s="133">
        <v>77.999999999999986</v>
      </c>
      <c r="G10" s="133">
        <v>41.999999999999979</v>
      </c>
      <c r="H10" s="133">
        <v>637</v>
      </c>
      <c r="I10" s="134">
        <v>4144</v>
      </c>
    </row>
    <row r="11" spans="1:11">
      <c r="A11" s="132" t="s">
        <v>104</v>
      </c>
      <c r="B11" s="1" t="s">
        <v>154</v>
      </c>
      <c r="C11" s="1"/>
      <c r="D11" s="133">
        <v>129</v>
      </c>
      <c r="E11" s="133">
        <v>3792</v>
      </c>
      <c r="F11" s="133" t="s">
        <v>79</v>
      </c>
      <c r="G11" s="133" t="s">
        <v>79</v>
      </c>
      <c r="H11" s="133" t="s">
        <v>79</v>
      </c>
      <c r="I11" s="134">
        <v>3959</v>
      </c>
    </row>
    <row r="12" spans="1:11">
      <c r="A12" s="132"/>
      <c r="B12" s="1" t="s">
        <v>69</v>
      </c>
      <c r="C12" s="1"/>
      <c r="D12" s="133">
        <v>12</v>
      </c>
      <c r="E12" s="133">
        <v>9</v>
      </c>
      <c r="F12" s="133" t="s">
        <v>80</v>
      </c>
      <c r="G12" s="133" t="s">
        <v>80</v>
      </c>
      <c r="H12" s="133" t="s">
        <v>80</v>
      </c>
      <c r="I12" s="134">
        <v>24</v>
      </c>
      <c r="K12" s="165"/>
    </row>
    <row r="13" spans="1:11">
      <c r="A13" s="132"/>
      <c r="B13" s="1" t="s">
        <v>72</v>
      </c>
      <c r="C13" s="1"/>
      <c r="D13" s="133">
        <v>118</v>
      </c>
      <c r="E13" s="133">
        <v>137</v>
      </c>
      <c r="F13" s="133" t="s">
        <v>79</v>
      </c>
      <c r="G13" s="133" t="s">
        <v>80</v>
      </c>
      <c r="H13" s="133">
        <v>48</v>
      </c>
      <c r="I13" s="134">
        <v>330</v>
      </c>
    </row>
    <row r="14" spans="1:11">
      <c r="A14" s="137"/>
      <c r="B14" s="138" t="s">
        <v>65</v>
      </c>
      <c r="C14" s="138"/>
      <c r="D14" s="139">
        <v>3159.9999999999995</v>
      </c>
      <c r="E14" s="139">
        <v>4424.0000000000018</v>
      </c>
      <c r="F14" s="139">
        <v>108.99999999999997</v>
      </c>
      <c r="G14" s="139">
        <v>52.000000000000043</v>
      </c>
      <c r="H14" s="139">
        <v>712.00000000000011</v>
      </c>
      <c r="I14" s="140">
        <v>8457.0000000000073</v>
      </c>
    </row>
    <row r="15" spans="1:11">
      <c r="A15" s="132" t="s">
        <v>105</v>
      </c>
      <c r="B15" s="1" t="s">
        <v>67</v>
      </c>
      <c r="C15" s="1"/>
      <c r="D15" s="133">
        <v>67880</v>
      </c>
      <c r="E15" s="133">
        <v>3271</v>
      </c>
      <c r="F15" s="133">
        <v>2558</v>
      </c>
      <c r="G15" s="133">
        <v>463</v>
      </c>
      <c r="H15" s="133">
        <v>7947</v>
      </c>
      <c r="I15" s="143">
        <v>82119</v>
      </c>
    </row>
    <row r="16" spans="1:11">
      <c r="A16" s="132" t="s">
        <v>106</v>
      </c>
      <c r="B16" s="1" t="s">
        <v>154</v>
      </c>
      <c r="C16" s="1"/>
      <c r="D16" s="133">
        <v>749</v>
      </c>
      <c r="E16" s="133">
        <v>79292</v>
      </c>
      <c r="F16" s="133">
        <v>93</v>
      </c>
      <c r="G16" s="133">
        <v>75</v>
      </c>
      <c r="H16" s="133">
        <v>176</v>
      </c>
      <c r="I16" s="134">
        <v>80385</v>
      </c>
    </row>
    <row r="17" spans="1:9">
      <c r="A17" s="132"/>
      <c r="B17" s="1" t="s">
        <v>69</v>
      </c>
      <c r="C17" s="1"/>
      <c r="D17" s="133">
        <v>612</v>
      </c>
      <c r="E17" s="133">
        <v>489</v>
      </c>
      <c r="F17" s="133">
        <v>58</v>
      </c>
      <c r="G17" s="133">
        <v>10</v>
      </c>
      <c r="H17" s="133">
        <v>298</v>
      </c>
      <c r="I17" s="134">
        <v>1467</v>
      </c>
    </row>
    <row r="18" spans="1:9">
      <c r="A18" s="132"/>
      <c r="B18" s="1" t="s">
        <v>72</v>
      </c>
      <c r="C18" s="1"/>
      <c r="D18" s="133">
        <v>1405</v>
      </c>
      <c r="E18" s="133">
        <v>1710</v>
      </c>
      <c r="F18" s="133">
        <v>227</v>
      </c>
      <c r="G18" s="133">
        <v>77</v>
      </c>
      <c r="H18" s="133">
        <v>493</v>
      </c>
      <c r="I18" s="134">
        <v>3912</v>
      </c>
    </row>
    <row r="19" spans="1:9">
      <c r="A19" s="137"/>
      <c r="B19" s="138" t="s">
        <v>65</v>
      </c>
      <c r="C19" s="138"/>
      <c r="D19" s="139">
        <v>70646</v>
      </c>
      <c r="E19" s="139">
        <v>84762</v>
      </c>
      <c r="F19" s="139">
        <v>2936</v>
      </c>
      <c r="G19" s="139">
        <v>625</v>
      </c>
      <c r="H19" s="139">
        <v>8914</v>
      </c>
      <c r="I19" s="140">
        <v>167883</v>
      </c>
    </row>
    <row r="20" spans="1:9">
      <c r="A20" s="132" t="s">
        <v>107</v>
      </c>
      <c r="B20" s="1" t="s">
        <v>67</v>
      </c>
      <c r="C20" s="1"/>
      <c r="D20" s="133">
        <v>313</v>
      </c>
      <c r="E20" s="133">
        <v>30</v>
      </c>
      <c r="F20" s="133" t="s">
        <v>80</v>
      </c>
      <c r="G20" s="133" t="s">
        <v>79</v>
      </c>
      <c r="H20" s="133">
        <v>50</v>
      </c>
      <c r="I20" s="134">
        <v>402</v>
      </c>
    </row>
    <row r="21" spans="1:9">
      <c r="A21" s="132" t="s">
        <v>106</v>
      </c>
      <c r="B21" s="1" t="s">
        <v>81</v>
      </c>
      <c r="C21" s="1" t="s">
        <v>124</v>
      </c>
      <c r="D21" s="159" t="s">
        <v>157</v>
      </c>
      <c r="E21" s="160" t="s">
        <v>157</v>
      </c>
      <c r="F21" s="161" t="s">
        <v>157</v>
      </c>
      <c r="G21" s="160" t="s">
        <v>157</v>
      </c>
      <c r="H21" s="162" t="s">
        <v>157</v>
      </c>
      <c r="I21" s="163" t="s">
        <v>157</v>
      </c>
    </row>
    <row r="22" spans="1:9">
      <c r="A22" s="132"/>
      <c r="B22" s="1"/>
      <c r="C22" s="1" t="s">
        <v>125</v>
      </c>
      <c r="D22" s="133">
        <v>1653</v>
      </c>
      <c r="E22" s="133">
        <v>256</v>
      </c>
      <c r="F22" s="133" t="s">
        <v>79</v>
      </c>
      <c r="G22" s="133" t="s">
        <v>79</v>
      </c>
      <c r="H22" s="133">
        <v>213</v>
      </c>
      <c r="I22" s="134">
        <v>2268</v>
      </c>
    </row>
    <row r="23" spans="1:9">
      <c r="A23" s="137"/>
      <c r="B23" s="138" t="s">
        <v>65</v>
      </c>
      <c r="C23" s="138"/>
      <c r="D23" s="139">
        <v>1966</v>
      </c>
      <c r="E23" s="139">
        <v>286</v>
      </c>
      <c r="F23" s="139">
        <v>96</v>
      </c>
      <c r="G23" s="139">
        <v>59</v>
      </c>
      <c r="H23" s="139">
        <v>263</v>
      </c>
      <c r="I23" s="140">
        <v>2670</v>
      </c>
    </row>
    <row r="24" spans="1:9">
      <c r="A24" s="132" t="s">
        <v>108</v>
      </c>
      <c r="B24" s="1" t="s">
        <v>67</v>
      </c>
      <c r="C24" s="1"/>
      <c r="D24" s="133">
        <v>33777</v>
      </c>
      <c r="E24" s="133">
        <v>984</v>
      </c>
      <c r="F24" s="133">
        <v>569</v>
      </c>
      <c r="G24" s="133">
        <v>59</v>
      </c>
      <c r="H24" s="133">
        <v>2774</v>
      </c>
      <c r="I24" s="134">
        <v>38163</v>
      </c>
    </row>
    <row r="25" spans="1:9">
      <c r="A25" s="132" t="s">
        <v>109</v>
      </c>
      <c r="B25" s="1" t="s">
        <v>154</v>
      </c>
      <c r="C25" s="1"/>
      <c r="D25" s="133">
        <v>167</v>
      </c>
      <c r="E25" s="133">
        <v>44951</v>
      </c>
      <c r="F25" s="133">
        <v>56</v>
      </c>
      <c r="G25" s="133">
        <v>27</v>
      </c>
      <c r="H25" s="133">
        <v>149</v>
      </c>
      <c r="I25" s="134">
        <v>45350</v>
      </c>
    </row>
    <row r="26" spans="1:9">
      <c r="A26" s="132" t="s">
        <v>110</v>
      </c>
      <c r="B26" s="1" t="s">
        <v>69</v>
      </c>
      <c r="C26" s="1"/>
      <c r="D26" s="133">
        <v>1423</v>
      </c>
      <c r="E26" s="133">
        <v>271</v>
      </c>
      <c r="F26" s="133">
        <v>69</v>
      </c>
      <c r="G26" s="133">
        <v>15</v>
      </c>
      <c r="H26" s="133">
        <v>190</v>
      </c>
      <c r="I26" s="134">
        <v>1968</v>
      </c>
    </row>
    <row r="27" spans="1:9">
      <c r="A27" s="132"/>
      <c r="B27" s="1" t="s">
        <v>72</v>
      </c>
      <c r="C27" s="1"/>
      <c r="D27" s="133">
        <v>3075</v>
      </c>
      <c r="E27" s="133">
        <v>3431</v>
      </c>
      <c r="F27" s="133">
        <v>338</v>
      </c>
      <c r="G27" s="133">
        <v>58</v>
      </c>
      <c r="H27" s="133">
        <v>377</v>
      </c>
      <c r="I27" s="134">
        <v>7279</v>
      </c>
    </row>
    <row r="28" spans="1:9">
      <c r="A28" s="137"/>
      <c r="B28" s="138" t="s">
        <v>65</v>
      </c>
      <c r="C28" s="138"/>
      <c r="D28" s="139">
        <v>38442</v>
      </c>
      <c r="E28" s="139">
        <v>49637</v>
      </c>
      <c r="F28" s="139">
        <v>1032</v>
      </c>
      <c r="G28" s="139">
        <v>159</v>
      </c>
      <c r="H28" s="139">
        <v>3490</v>
      </c>
      <c r="I28" s="140">
        <v>92760</v>
      </c>
    </row>
    <row r="29" spans="1:9">
      <c r="A29" s="132" t="s">
        <v>111</v>
      </c>
      <c r="B29" s="1" t="s">
        <v>67</v>
      </c>
      <c r="C29" s="1"/>
      <c r="D29" s="133">
        <v>12285</v>
      </c>
      <c r="E29" s="133">
        <v>859</v>
      </c>
      <c r="F29" s="133">
        <v>425</v>
      </c>
      <c r="G29" s="133">
        <v>58</v>
      </c>
      <c r="H29" s="133">
        <v>1152</v>
      </c>
      <c r="I29" s="134">
        <v>14779</v>
      </c>
    </row>
    <row r="30" spans="1:9">
      <c r="A30" s="132" t="s">
        <v>112</v>
      </c>
      <c r="B30" s="1" t="s">
        <v>81</v>
      </c>
      <c r="C30" s="1" t="s">
        <v>124</v>
      </c>
      <c r="D30" s="133">
        <v>166</v>
      </c>
      <c r="E30" s="133">
        <v>27662</v>
      </c>
      <c r="F30" s="133">
        <v>19</v>
      </c>
      <c r="G30" s="133">
        <v>16</v>
      </c>
      <c r="H30" s="133">
        <v>31</v>
      </c>
      <c r="I30" s="134">
        <v>27894</v>
      </c>
    </row>
    <row r="31" spans="1:9">
      <c r="A31" s="132"/>
      <c r="B31" s="1"/>
      <c r="C31" s="1" t="s">
        <v>125</v>
      </c>
      <c r="D31" s="133">
        <v>15225</v>
      </c>
      <c r="E31" s="133">
        <v>1876</v>
      </c>
      <c r="F31" s="133">
        <v>421</v>
      </c>
      <c r="G31" s="133">
        <v>153</v>
      </c>
      <c r="H31" s="133">
        <v>2395</v>
      </c>
      <c r="I31" s="134">
        <v>20070</v>
      </c>
    </row>
    <row r="32" spans="1:9">
      <c r="A32" s="137"/>
      <c r="B32" s="138" t="s">
        <v>65</v>
      </c>
      <c r="C32" s="138"/>
      <c r="D32" s="139">
        <v>27676</v>
      </c>
      <c r="E32" s="139">
        <v>30397</v>
      </c>
      <c r="F32" s="139">
        <v>865</v>
      </c>
      <c r="G32" s="139">
        <v>227</v>
      </c>
      <c r="H32" s="139">
        <v>3578</v>
      </c>
      <c r="I32" s="134">
        <v>62743</v>
      </c>
    </row>
    <row r="33" spans="1:9" ht="13.5" thickBot="1">
      <c r="A33" s="152" t="s">
        <v>158</v>
      </c>
      <c r="B33" s="153"/>
      <c r="C33" s="154"/>
      <c r="D33" s="155">
        <v>144654</v>
      </c>
      <c r="E33" s="155">
        <v>172360</v>
      </c>
      <c r="F33" s="155">
        <v>5111</v>
      </c>
      <c r="G33" s="155">
        <v>1149</v>
      </c>
      <c r="H33" s="155">
        <v>17332</v>
      </c>
      <c r="I33" s="164">
        <v>340606</v>
      </c>
    </row>
    <row r="34" spans="1:9" ht="13.5" thickTop="1">
      <c r="A34" s="1"/>
      <c r="C34" s="1"/>
      <c r="D34" s="157"/>
      <c r="E34" s="157"/>
      <c r="F34" s="157"/>
      <c r="G34" s="157"/>
      <c r="H34" s="157"/>
      <c r="I34" s="157"/>
    </row>
    <row r="35" spans="1:9">
      <c r="A35" t="s">
        <v>160</v>
      </c>
      <c r="D35" s="142"/>
      <c r="E35" s="142"/>
      <c r="F35" s="142"/>
      <c r="G35" s="142"/>
      <c r="H35" s="142"/>
      <c r="I35" s="142"/>
    </row>
    <row r="36" spans="1:9" ht="14.25">
      <c r="A36" s="158" t="s">
        <v>161</v>
      </c>
    </row>
    <row r="37" spans="1:9" ht="14.25">
      <c r="A37" s="158" t="s">
        <v>130</v>
      </c>
    </row>
    <row r="38" spans="1:9" ht="14.25">
      <c r="A38" s="75" t="s">
        <v>150</v>
      </c>
    </row>
  </sheetData>
  <mergeCells count="1">
    <mergeCell ref="H4:H6"/>
  </mergeCells>
  <pageMargins left="0.75000000000000011" right="0.75000000000000011" top="1" bottom="1" header="0.5" footer="0.5"/>
  <pageSetup paperSize="0" scale="84" fitToWidth="0" fitToHeight="0" orientation="landscape" horizontalDpi="0" verticalDpi="0" copies="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7"/>
  <sheetViews>
    <sheetView workbookViewId="0"/>
  </sheetViews>
  <sheetFormatPr defaultRowHeight="12.75"/>
  <cols>
    <col min="1" max="1" width="20.7109375" customWidth="1"/>
    <col min="2" max="2" width="26.5703125" customWidth="1"/>
    <col min="3" max="3" width="34.42578125" customWidth="1"/>
    <col min="4" max="4" width="10.140625" customWidth="1"/>
    <col min="5" max="5" width="15.42578125" customWidth="1"/>
    <col min="6" max="6" width="14.5703125" customWidth="1"/>
    <col min="7" max="7" width="13.140625" customWidth="1"/>
    <col min="8" max="8" width="12.7109375" customWidth="1"/>
    <col min="9" max="9" width="9.140625" customWidth="1"/>
  </cols>
  <sheetData>
    <row r="1" spans="1:9" s="118" customFormat="1" ht="18">
      <c r="A1" s="166" t="s">
        <v>162</v>
      </c>
    </row>
    <row r="2" spans="1:9" s="118" customFormat="1" ht="15" customHeight="1"/>
    <row r="3" spans="1:9" ht="13.5" customHeight="1" thickBot="1"/>
    <row r="4" spans="1:9" s="123" customFormat="1" ht="14.25" thickTop="1" thickBot="1">
      <c r="A4" s="119"/>
      <c r="B4" s="120"/>
      <c r="C4" s="120"/>
      <c r="D4" s="121" t="s">
        <v>58</v>
      </c>
      <c r="E4" s="121" t="s">
        <v>133</v>
      </c>
      <c r="F4" s="121" t="s">
        <v>116</v>
      </c>
      <c r="G4" s="121" t="s">
        <v>117</v>
      </c>
      <c r="H4" s="443" t="s">
        <v>127</v>
      </c>
      <c r="I4" s="122" t="s">
        <v>61</v>
      </c>
    </row>
    <row r="5" spans="1:9" s="123" customFormat="1" ht="14.25" thickTop="1" thickBot="1">
      <c r="A5" s="124"/>
      <c r="B5" s="125"/>
      <c r="C5" s="125"/>
      <c r="D5" s="126"/>
      <c r="E5" s="126"/>
      <c r="F5" s="126"/>
      <c r="G5" s="126"/>
      <c r="H5" s="443"/>
      <c r="I5" s="127"/>
    </row>
    <row r="6" spans="1:9" s="123" customFormat="1" ht="13.5" thickTop="1">
      <c r="A6" s="128"/>
      <c r="B6" s="129"/>
      <c r="C6" s="129"/>
      <c r="D6" s="130"/>
      <c r="E6" s="130"/>
      <c r="F6" s="130"/>
      <c r="G6" s="130"/>
      <c r="H6" s="443"/>
      <c r="I6" s="131"/>
    </row>
    <row r="7" spans="1:9">
      <c r="A7" s="132" t="s">
        <v>66</v>
      </c>
      <c r="B7" s="1" t="s">
        <v>67</v>
      </c>
      <c r="C7" s="1"/>
      <c r="D7" s="133">
        <v>2567</v>
      </c>
      <c r="E7" s="133">
        <v>1292</v>
      </c>
      <c r="F7" s="133" t="s">
        <v>79</v>
      </c>
      <c r="G7" s="133" t="s">
        <v>79</v>
      </c>
      <c r="H7" s="133">
        <v>406</v>
      </c>
      <c r="I7" s="134">
        <v>4352</v>
      </c>
    </row>
    <row r="8" spans="1:9">
      <c r="A8" s="132"/>
      <c r="B8" s="1" t="s">
        <v>68</v>
      </c>
      <c r="C8" s="1"/>
      <c r="D8" s="133">
        <v>50</v>
      </c>
      <c r="E8" s="133">
        <v>1552</v>
      </c>
      <c r="F8" s="133" t="s">
        <v>80</v>
      </c>
      <c r="G8" s="133" t="s">
        <v>80</v>
      </c>
      <c r="H8" s="133">
        <v>9</v>
      </c>
      <c r="I8" s="134">
        <v>1613</v>
      </c>
    </row>
    <row r="9" spans="1:9">
      <c r="A9" s="137"/>
      <c r="B9" s="138" t="s">
        <v>65</v>
      </c>
      <c r="C9" s="138"/>
      <c r="D9" s="139">
        <v>2617</v>
      </c>
      <c r="E9" s="139">
        <v>2844</v>
      </c>
      <c r="F9" s="139">
        <v>66</v>
      </c>
      <c r="G9" s="139">
        <v>23</v>
      </c>
      <c r="H9" s="139">
        <v>415</v>
      </c>
      <c r="I9" s="140">
        <v>5965</v>
      </c>
    </row>
    <row r="10" spans="1:9" ht="14.25">
      <c r="A10" s="132" t="s">
        <v>103</v>
      </c>
      <c r="B10" s="1" t="s">
        <v>142</v>
      </c>
      <c r="C10" s="1"/>
      <c r="D10" s="133">
        <v>2915</v>
      </c>
      <c r="E10" s="133">
        <v>463.99999999999983</v>
      </c>
      <c r="F10" s="133">
        <v>90.000000000000028</v>
      </c>
      <c r="G10" s="133">
        <v>37</v>
      </c>
      <c r="H10" s="133">
        <v>478.00000000000006</v>
      </c>
      <c r="I10" s="134">
        <v>3983.9999999999991</v>
      </c>
    </row>
    <row r="11" spans="1:9">
      <c r="A11" s="132" t="s">
        <v>104</v>
      </c>
      <c r="B11" s="1" t="s">
        <v>154</v>
      </c>
      <c r="C11" s="1"/>
      <c r="D11" s="133">
        <v>112</v>
      </c>
      <c r="E11" s="133">
        <v>3514</v>
      </c>
      <c r="F11" s="133" t="s">
        <v>79</v>
      </c>
      <c r="G11" s="133" t="s">
        <v>79</v>
      </c>
      <c r="H11" s="133">
        <v>13</v>
      </c>
      <c r="I11" s="134">
        <v>3652</v>
      </c>
    </row>
    <row r="12" spans="1:9">
      <c r="A12" s="132"/>
      <c r="B12" s="1" t="s">
        <v>69</v>
      </c>
      <c r="C12" s="1"/>
      <c r="D12" s="133">
        <v>7</v>
      </c>
      <c r="E12" s="133">
        <v>18</v>
      </c>
      <c r="F12" s="133" t="s">
        <v>80</v>
      </c>
      <c r="G12" s="133" t="s">
        <v>80</v>
      </c>
      <c r="H12" s="133">
        <v>6</v>
      </c>
      <c r="I12" s="134">
        <v>34</v>
      </c>
    </row>
    <row r="13" spans="1:9">
      <c r="A13" s="132"/>
      <c r="B13" s="1" t="s">
        <v>72</v>
      </c>
      <c r="C13" s="1"/>
      <c r="D13" s="133">
        <v>98</v>
      </c>
      <c r="E13" s="133">
        <v>102</v>
      </c>
      <c r="F13" s="133">
        <v>19</v>
      </c>
      <c r="G13" s="133">
        <v>6</v>
      </c>
      <c r="H13" s="133">
        <v>34</v>
      </c>
      <c r="I13" s="134">
        <v>259</v>
      </c>
    </row>
    <row r="14" spans="1:9">
      <c r="A14" s="137"/>
      <c r="B14" s="138" t="s">
        <v>65</v>
      </c>
      <c r="C14" s="138"/>
      <c r="D14" s="139">
        <v>3132.0000000000027</v>
      </c>
      <c r="E14" s="139">
        <v>4097.9999999999991</v>
      </c>
      <c r="F14" s="139">
        <v>118.00000000000003</v>
      </c>
      <c r="G14" s="139">
        <v>50.000000000000007</v>
      </c>
      <c r="H14" s="139">
        <v>530.99999999999977</v>
      </c>
      <c r="I14" s="140">
        <v>7928.9999999999964</v>
      </c>
    </row>
    <row r="15" spans="1:9">
      <c r="A15" s="132" t="s">
        <v>105</v>
      </c>
      <c r="B15" s="1" t="s">
        <v>67</v>
      </c>
      <c r="C15" s="1"/>
      <c r="D15" s="133">
        <v>69207</v>
      </c>
      <c r="E15" s="133">
        <v>3229</v>
      </c>
      <c r="F15" s="133">
        <v>2286</v>
      </c>
      <c r="G15" s="133">
        <v>530</v>
      </c>
      <c r="H15" s="133">
        <v>7862</v>
      </c>
      <c r="I15" s="143">
        <v>83114</v>
      </c>
    </row>
    <row r="16" spans="1:9">
      <c r="A16" s="132" t="s">
        <v>106</v>
      </c>
      <c r="B16" s="1" t="s">
        <v>154</v>
      </c>
      <c r="C16" s="1"/>
      <c r="D16" s="133">
        <v>720</v>
      </c>
      <c r="E16" s="133">
        <v>80412</v>
      </c>
      <c r="F16" s="133">
        <v>57</v>
      </c>
      <c r="G16" s="133">
        <v>98</v>
      </c>
      <c r="H16" s="133">
        <v>140</v>
      </c>
      <c r="I16" s="134">
        <v>81427</v>
      </c>
    </row>
    <row r="17" spans="1:9">
      <c r="A17" s="132"/>
      <c r="B17" s="1" t="s">
        <v>69</v>
      </c>
      <c r="C17" s="1"/>
      <c r="D17" s="133">
        <v>560</v>
      </c>
      <c r="E17" s="133">
        <v>472</v>
      </c>
      <c r="F17" s="133">
        <v>61</v>
      </c>
      <c r="G17" s="133">
        <v>7</v>
      </c>
      <c r="H17" s="133">
        <v>311</v>
      </c>
      <c r="I17" s="134">
        <v>1411</v>
      </c>
    </row>
    <row r="18" spans="1:9">
      <c r="A18" s="132"/>
      <c r="B18" s="1" t="s">
        <v>72</v>
      </c>
      <c r="C18" s="1"/>
      <c r="D18" s="133">
        <v>1346</v>
      </c>
      <c r="E18" s="133">
        <v>1636</v>
      </c>
      <c r="F18" s="133">
        <v>201</v>
      </c>
      <c r="G18" s="133">
        <v>53</v>
      </c>
      <c r="H18" s="133">
        <v>512</v>
      </c>
      <c r="I18" s="134">
        <v>3748</v>
      </c>
    </row>
    <row r="19" spans="1:9">
      <c r="A19" s="137"/>
      <c r="B19" s="138" t="s">
        <v>65</v>
      </c>
      <c r="C19" s="138"/>
      <c r="D19" s="139">
        <v>71833</v>
      </c>
      <c r="E19" s="139">
        <v>85749</v>
      </c>
      <c r="F19" s="139">
        <v>2605</v>
      </c>
      <c r="G19" s="139">
        <v>688</v>
      </c>
      <c r="H19" s="139">
        <v>8825</v>
      </c>
      <c r="I19" s="140">
        <v>169700</v>
      </c>
    </row>
    <row r="20" spans="1:9">
      <c r="A20" s="132" t="s">
        <v>107</v>
      </c>
      <c r="B20" s="1" t="s">
        <v>67</v>
      </c>
      <c r="C20" s="1"/>
      <c r="D20" s="133">
        <v>324</v>
      </c>
      <c r="E20" s="133">
        <v>30</v>
      </c>
      <c r="F20" s="133" t="s">
        <v>79</v>
      </c>
      <c r="G20" s="133" t="s">
        <v>80</v>
      </c>
      <c r="H20" s="133">
        <v>48</v>
      </c>
      <c r="I20" s="134">
        <v>415</v>
      </c>
    </row>
    <row r="21" spans="1:9">
      <c r="A21" s="132" t="s">
        <v>106</v>
      </c>
      <c r="B21" s="1" t="s">
        <v>81</v>
      </c>
      <c r="C21" s="1" t="s">
        <v>124</v>
      </c>
      <c r="D21" s="159" t="s">
        <v>157</v>
      </c>
      <c r="E21" s="159" t="s">
        <v>157</v>
      </c>
      <c r="F21" s="159" t="s">
        <v>157</v>
      </c>
      <c r="G21" s="159" t="s">
        <v>157</v>
      </c>
      <c r="H21" s="159" t="s">
        <v>157</v>
      </c>
      <c r="I21" s="167" t="s">
        <v>157</v>
      </c>
    </row>
    <row r="22" spans="1:9">
      <c r="A22" s="132"/>
      <c r="B22" s="1"/>
      <c r="C22" s="1" t="s">
        <v>125</v>
      </c>
      <c r="D22" s="133">
        <v>1684</v>
      </c>
      <c r="E22" s="133">
        <v>235</v>
      </c>
      <c r="F22" s="133" t="s">
        <v>79</v>
      </c>
      <c r="G22" s="133" t="s">
        <v>79</v>
      </c>
      <c r="H22" s="133">
        <v>295</v>
      </c>
      <c r="I22" s="134">
        <v>2376</v>
      </c>
    </row>
    <row r="23" spans="1:9">
      <c r="A23" s="137"/>
      <c r="B23" s="138" t="s">
        <v>65</v>
      </c>
      <c r="C23" s="138"/>
      <c r="D23" s="139">
        <v>2008</v>
      </c>
      <c r="E23" s="139">
        <v>265</v>
      </c>
      <c r="F23" s="139">
        <v>124</v>
      </c>
      <c r="G23" s="139">
        <v>51</v>
      </c>
      <c r="H23" s="139">
        <v>343</v>
      </c>
      <c r="I23" s="140">
        <v>2791</v>
      </c>
    </row>
    <row r="24" spans="1:9">
      <c r="A24" s="132" t="s">
        <v>108</v>
      </c>
      <c r="B24" s="1" t="s">
        <v>67</v>
      </c>
      <c r="C24" s="1"/>
      <c r="D24" s="133">
        <v>34391</v>
      </c>
      <c r="E24" s="133">
        <v>1105</v>
      </c>
      <c r="F24" s="133">
        <v>547</v>
      </c>
      <c r="G24" s="133">
        <v>68</v>
      </c>
      <c r="H24" s="133">
        <v>2466</v>
      </c>
      <c r="I24" s="134">
        <v>38577</v>
      </c>
    </row>
    <row r="25" spans="1:9">
      <c r="A25" s="132" t="s">
        <v>109</v>
      </c>
      <c r="B25" s="1" t="s">
        <v>154</v>
      </c>
      <c r="C25" s="1"/>
      <c r="D25" s="133">
        <v>176</v>
      </c>
      <c r="E25" s="133">
        <v>45301</v>
      </c>
      <c r="F25" s="133">
        <v>51</v>
      </c>
      <c r="G25" s="133">
        <v>21</v>
      </c>
      <c r="H25" s="133">
        <v>165</v>
      </c>
      <c r="I25" s="134">
        <v>45714</v>
      </c>
    </row>
    <row r="26" spans="1:9">
      <c r="A26" s="132" t="s">
        <v>110</v>
      </c>
      <c r="B26" s="1" t="s">
        <v>69</v>
      </c>
      <c r="C26" s="1"/>
      <c r="D26" s="133">
        <v>1433</v>
      </c>
      <c r="E26" s="133">
        <v>247</v>
      </c>
      <c r="F26" s="133">
        <v>49</v>
      </c>
      <c r="G26" s="133">
        <v>14</v>
      </c>
      <c r="H26" s="133">
        <v>192</v>
      </c>
      <c r="I26" s="134">
        <v>1935</v>
      </c>
    </row>
    <row r="27" spans="1:9">
      <c r="A27" s="132"/>
      <c r="B27" s="1" t="s">
        <v>72</v>
      </c>
      <c r="C27" s="1"/>
      <c r="D27" s="133">
        <v>2778</v>
      </c>
      <c r="E27" s="133">
        <v>3305</v>
      </c>
      <c r="F27" s="133">
        <v>245</v>
      </c>
      <c r="G27" s="133">
        <v>53</v>
      </c>
      <c r="H27" s="133">
        <v>372</v>
      </c>
      <c r="I27" s="134">
        <v>6753</v>
      </c>
    </row>
    <row r="28" spans="1:9">
      <c r="A28" s="137"/>
      <c r="B28" s="138" t="s">
        <v>65</v>
      </c>
      <c r="C28" s="138"/>
      <c r="D28" s="139">
        <v>38778</v>
      </c>
      <c r="E28" s="139">
        <v>49958</v>
      </c>
      <c r="F28" s="139">
        <v>892</v>
      </c>
      <c r="G28" s="139">
        <v>156</v>
      </c>
      <c r="H28" s="139">
        <v>3195</v>
      </c>
      <c r="I28" s="140">
        <v>92979</v>
      </c>
    </row>
    <row r="29" spans="1:9">
      <c r="A29" s="132" t="s">
        <v>111</v>
      </c>
      <c r="B29" s="1" t="s">
        <v>67</v>
      </c>
      <c r="C29" s="1"/>
      <c r="D29" s="133">
        <v>12323</v>
      </c>
      <c r="E29" s="133">
        <v>844</v>
      </c>
      <c r="F29" s="133">
        <v>287</v>
      </c>
      <c r="G29" s="133">
        <v>56</v>
      </c>
      <c r="H29" s="133">
        <v>1181</v>
      </c>
      <c r="I29" s="134">
        <v>14691</v>
      </c>
    </row>
    <row r="30" spans="1:9">
      <c r="A30" s="132" t="s">
        <v>112</v>
      </c>
      <c r="B30" s="1" t="s">
        <v>81</v>
      </c>
      <c r="C30" s="1" t="s">
        <v>124</v>
      </c>
      <c r="D30" s="133">
        <v>155</v>
      </c>
      <c r="E30" s="133">
        <v>27683</v>
      </c>
      <c r="F30" s="133">
        <v>19</v>
      </c>
      <c r="G30" s="133">
        <v>16</v>
      </c>
      <c r="H30" s="133">
        <v>24</v>
      </c>
      <c r="I30" s="134">
        <v>27897</v>
      </c>
    </row>
    <row r="31" spans="1:9">
      <c r="A31" s="132"/>
      <c r="B31" s="1"/>
      <c r="C31" s="1" t="s">
        <v>125</v>
      </c>
      <c r="D31" s="133">
        <v>15240</v>
      </c>
      <c r="E31" s="133">
        <v>1812</v>
      </c>
      <c r="F31" s="133">
        <v>348</v>
      </c>
      <c r="G31" s="133">
        <v>143</v>
      </c>
      <c r="H31" s="133">
        <v>2443</v>
      </c>
      <c r="I31" s="134">
        <v>19986</v>
      </c>
    </row>
    <row r="32" spans="1:9">
      <c r="A32" s="137"/>
      <c r="B32" s="138" t="s">
        <v>65</v>
      </c>
      <c r="C32" s="138"/>
      <c r="D32" s="139">
        <v>27718</v>
      </c>
      <c r="E32" s="139">
        <v>30339</v>
      </c>
      <c r="F32" s="139">
        <v>654</v>
      </c>
      <c r="G32" s="139">
        <v>215</v>
      </c>
      <c r="H32" s="139">
        <v>3648</v>
      </c>
      <c r="I32" s="134">
        <v>62574</v>
      </c>
    </row>
    <row r="33" spans="1:9" ht="13.5" thickBot="1">
      <c r="A33" s="152" t="s">
        <v>158</v>
      </c>
      <c r="B33" s="153"/>
      <c r="C33" s="154"/>
      <c r="D33" s="155">
        <v>146086</v>
      </c>
      <c r="E33" s="155">
        <v>173253</v>
      </c>
      <c r="F33" s="155">
        <v>4459</v>
      </c>
      <c r="G33" s="155">
        <v>1183</v>
      </c>
      <c r="H33" s="155">
        <v>16957</v>
      </c>
      <c r="I33" s="164">
        <v>341938</v>
      </c>
    </row>
    <row r="34" spans="1:9" ht="13.5" thickTop="1">
      <c r="A34" t="s">
        <v>160</v>
      </c>
    </row>
    <row r="35" spans="1:9" ht="14.25">
      <c r="A35" s="158" t="s">
        <v>161</v>
      </c>
      <c r="D35" s="142"/>
      <c r="E35" s="142"/>
      <c r="F35" s="142"/>
      <c r="G35" s="142"/>
      <c r="H35" s="142"/>
      <c r="I35" s="142"/>
    </row>
    <row r="36" spans="1:9" ht="14.25">
      <c r="A36" s="158" t="s">
        <v>130</v>
      </c>
    </row>
    <row r="37" spans="1:9" ht="14.25">
      <c r="A37" s="75" t="s">
        <v>150</v>
      </c>
    </row>
  </sheetData>
  <mergeCells count="1">
    <mergeCell ref="H4:H6"/>
  </mergeCells>
  <pageMargins left="0.75000000000000011" right="0.75000000000000011" top="1" bottom="1" header="0.5" footer="0.5"/>
  <pageSetup paperSize="0" scale="84" fitToWidth="0" fitToHeight="0" orientation="landscape"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F386AFD53ED0458ABABB8168DEAD56" ma:contentTypeVersion="12" ma:contentTypeDescription="Create a new document." ma:contentTypeScope="" ma:versionID="f3c8ed77313e0833578fab5e8cd208bf">
  <xsd:schema xmlns:xsd="http://www.w3.org/2001/XMLSchema" xmlns:xs="http://www.w3.org/2001/XMLSchema" xmlns:p="http://schemas.microsoft.com/office/2006/metadata/properties" xmlns:ns2="cdd8502d-ddda-47d3-bc10-7dfd02b2ac59" xmlns:ns3="e7151fac-9fcf-474c-8c03-e664bba15fa0" targetNamespace="http://schemas.microsoft.com/office/2006/metadata/properties" ma:root="true" ma:fieldsID="2fd9090e8a8fce704161089cced97d96" ns2:_="" ns3:_="">
    <xsd:import namespace="cdd8502d-ddda-47d3-bc10-7dfd02b2ac59"/>
    <xsd:import namespace="e7151fac-9fcf-474c-8c03-e664bba15f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d8502d-ddda-47d3-bc10-7dfd02b2ac5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9e5c54e-659f-4636-b7a1-59973806913c}" ma:internalName="TaxCatchAll" ma:showField="CatchAllData" ma:web="cdd8502d-ddda-47d3-bc10-7dfd02b2ac5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151fac-9fcf-474c-8c03-e664bba15f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f15b542-c3bb-4fe8-b389-dcfcef2f2a3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51fac-9fcf-474c-8c03-e664bba15fa0">
      <Terms xmlns="http://schemas.microsoft.com/office/infopath/2007/PartnerControls"/>
    </lcf76f155ced4ddcb4097134ff3c332f>
    <TaxCatchAll xmlns="cdd8502d-ddda-47d3-bc10-7dfd02b2ac59" xsi:nil="true"/>
  </documentManagement>
</p:properties>
</file>

<file path=customXml/itemProps1.xml><?xml version="1.0" encoding="utf-8"?>
<ds:datastoreItem xmlns:ds="http://schemas.openxmlformats.org/officeDocument/2006/customXml" ds:itemID="{DFE25C05-FCBA-49B8-8292-28569960F56E}"/>
</file>

<file path=customXml/itemProps2.xml><?xml version="1.0" encoding="utf-8"?>
<ds:datastoreItem xmlns:ds="http://schemas.openxmlformats.org/officeDocument/2006/customXml" ds:itemID="{B662E3FD-C4FF-4763-B765-1261FFEA76A0}"/>
</file>

<file path=customXml/itemProps3.xml><?xml version="1.0" encoding="utf-8"?>
<ds:datastoreItem xmlns:ds="http://schemas.openxmlformats.org/officeDocument/2006/customXml" ds:itemID="{59B97214-CD20-4F26-9927-D1BEB05142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GrahamI</dc:creator>
  <cp:keywords/>
  <dc:description/>
  <cp:lastModifiedBy/>
  <cp:revision/>
  <dcterms:created xsi:type="dcterms:W3CDTF">2005-02-15T14:19:46Z</dcterms:created>
  <dcterms:modified xsi:type="dcterms:W3CDTF">2026-03-11T13:34:39Z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0x01010059F386AFD53ED0458ABABB8168DEAD56</vt:lpwstr>
  </property>
  <property fmtid="{D5CDD505-2E9C-101B-9397-08002B2CF9AE}" pid="3" name="MediaServiceImageTags">
    <vt:lpwstr/>
  </property>
</Properties>
</file>